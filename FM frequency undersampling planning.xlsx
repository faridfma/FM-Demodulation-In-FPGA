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brouk\Documents\GitHub\FM_Demod_Artys\"/>
    </mc:Choice>
  </mc:AlternateContent>
  <xr:revisionPtr revIDLastSave="0" documentId="13_ncr:1_{86049094-216A-491C-BD57-DA55448BDD2B}" xr6:coauthVersionLast="47" xr6:coauthVersionMax="47" xr10:uidLastSave="{00000000-0000-0000-0000-000000000000}"/>
  <bookViews>
    <workbookView xWindow="3075" yWindow="3075" windowWidth="21600" windowHeight="11385" xr2:uid="{BB876EE9-13AA-4DCF-A800-DB17F7CB80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5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A5" i="2"/>
  <c r="B5" i="2" s="1"/>
  <c r="D5" i="2" s="1"/>
  <c r="A6" i="2"/>
  <c r="B6" i="2" s="1"/>
  <c r="D6" i="2" s="1"/>
  <c r="C6" i="2"/>
  <c r="E6" i="2" s="1"/>
  <c r="A7" i="2"/>
  <c r="B7" i="2" s="1"/>
  <c r="D7" i="2" s="1"/>
  <c r="C7" i="2"/>
  <c r="E7" i="2" s="1"/>
  <c r="A8" i="2"/>
  <c r="B8" i="2" s="1"/>
  <c r="D8" i="2" s="1"/>
  <c r="A9" i="2"/>
  <c r="B9" i="2" s="1"/>
  <c r="D9" i="2" s="1"/>
  <c r="A10" i="2"/>
  <c r="B10" i="2" s="1"/>
  <c r="D10" i="2" s="1"/>
  <c r="A11" i="2"/>
  <c r="B11" i="2"/>
  <c r="D11" i="2" s="1"/>
  <c r="C11" i="2"/>
  <c r="E11" i="2" s="1"/>
  <c r="A12" i="2"/>
  <c r="B12" i="2"/>
  <c r="D12" i="2" s="1"/>
  <c r="C12" i="2"/>
  <c r="E12" i="2"/>
  <c r="A13" i="2"/>
  <c r="B13" i="2" s="1"/>
  <c r="D13" i="2" s="1"/>
  <c r="A14" i="2"/>
  <c r="B14" i="2" s="1"/>
  <c r="D14" i="2" s="1"/>
  <c r="C14" i="2"/>
  <c r="E14" i="2" s="1"/>
  <c r="A15" i="2"/>
  <c r="B15" i="2" s="1"/>
  <c r="D15" i="2" s="1"/>
  <c r="C15" i="2"/>
  <c r="E15" i="2" s="1"/>
  <c r="A16" i="2"/>
  <c r="B16" i="2" s="1"/>
  <c r="D16" i="2" s="1"/>
  <c r="A17" i="2"/>
  <c r="B17" i="2" s="1"/>
  <c r="D17" i="2" s="1"/>
  <c r="A18" i="2"/>
  <c r="B18" i="2" s="1"/>
  <c r="D18" i="2" s="1"/>
  <c r="A19" i="2"/>
  <c r="B19" i="2"/>
  <c r="D19" i="2" s="1"/>
  <c r="C19" i="2"/>
  <c r="E19" i="2" s="1"/>
  <c r="A20" i="2"/>
  <c r="B20" i="2"/>
  <c r="D20" i="2" s="1"/>
  <c r="C20" i="2"/>
  <c r="E20" i="2"/>
  <c r="A21" i="2"/>
  <c r="B21" i="2" s="1"/>
  <c r="D21" i="2" s="1"/>
  <c r="A22" i="2"/>
  <c r="B22" i="2" s="1"/>
  <c r="D22" i="2" s="1"/>
  <c r="C22" i="2"/>
  <c r="E22" i="2" s="1"/>
  <c r="A23" i="2"/>
  <c r="B23" i="2"/>
  <c r="D23" i="2" s="1"/>
  <c r="C23" i="2"/>
  <c r="E23" i="2" s="1"/>
  <c r="A24" i="2"/>
  <c r="B24" i="2" s="1"/>
  <c r="D24" i="2" s="1"/>
  <c r="A25" i="2"/>
  <c r="B25" i="2" s="1"/>
  <c r="D25" i="2" s="1"/>
  <c r="A26" i="2"/>
  <c r="B26" i="2" s="1"/>
  <c r="D26" i="2" s="1"/>
  <c r="A27" i="2"/>
  <c r="B27" i="2"/>
  <c r="D27" i="2" s="1"/>
  <c r="C27" i="2"/>
  <c r="E27" i="2" s="1"/>
  <c r="A28" i="2"/>
  <c r="C28" i="2" s="1"/>
  <c r="E28" i="2" s="1"/>
  <c r="B28" i="2"/>
  <c r="D28" i="2" s="1"/>
  <c r="A29" i="2"/>
  <c r="B29" i="2" s="1"/>
  <c r="D29" i="2" s="1"/>
  <c r="A30" i="2"/>
  <c r="B30" i="2" s="1"/>
  <c r="D30" i="2" s="1"/>
  <c r="C30" i="2"/>
  <c r="E30" i="2" s="1"/>
  <c r="A31" i="2"/>
  <c r="B31" i="2"/>
  <c r="D31" i="2" s="1"/>
  <c r="C31" i="2"/>
  <c r="E31" i="2" s="1"/>
  <c r="A32" i="2"/>
  <c r="B32" i="2" s="1"/>
  <c r="D32" i="2" s="1"/>
  <c r="A33" i="2"/>
  <c r="B33" i="2" s="1"/>
  <c r="D33" i="2" s="1"/>
  <c r="A34" i="2"/>
  <c r="B34" i="2" s="1"/>
  <c r="D34" i="2" s="1"/>
  <c r="A35" i="2"/>
  <c r="B35" i="2"/>
  <c r="D35" i="2" s="1"/>
  <c r="C35" i="2"/>
  <c r="E35" i="2" s="1"/>
  <c r="A36" i="2"/>
  <c r="C36" i="2" s="1"/>
  <c r="E36" i="2" s="1"/>
  <c r="B36" i="2"/>
  <c r="D36" i="2" s="1"/>
  <c r="A37" i="2"/>
  <c r="B37" i="2" s="1"/>
  <c r="D37" i="2" s="1"/>
  <c r="A38" i="2"/>
  <c r="B38" i="2" s="1"/>
  <c r="D38" i="2" s="1"/>
  <c r="C38" i="2"/>
  <c r="E38" i="2" s="1"/>
  <c r="A39" i="2"/>
  <c r="B39" i="2"/>
  <c r="D39" i="2" s="1"/>
  <c r="C39" i="2"/>
  <c r="E39" i="2" s="1"/>
  <c r="A40" i="2"/>
  <c r="B40" i="2" s="1"/>
  <c r="D40" i="2" s="1"/>
  <c r="A41" i="2"/>
  <c r="B41" i="2" s="1"/>
  <c r="D41" i="2" s="1"/>
  <c r="A42" i="2"/>
  <c r="B42" i="2" s="1"/>
  <c r="D42" i="2" s="1"/>
  <c r="A43" i="2"/>
  <c r="B43" i="2"/>
  <c r="D43" i="2" s="1"/>
  <c r="C43" i="2"/>
  <c r="E43" i="2" s="1"/>
  <c r="A44" i="2"/>
  <c r="C44" i="2" s="1"/>
  <c r="E44" i="2" s="1"/>
  <c r="B44" i="2"/>
  <c r="D44" i="2" s="1"/>
  <c r="A45" i="2"/>
  <c r="B45" i="2" s="1"/>
  <c r="D45" i="2" s="1"/>
  <c r="A46" i="2"/>
  <c r="B46" i="2" s="1"/>
  <c r="D46" i="2" s="1"/>
  <c r="C46" i="2"/>
  <c r="E46" i="2" s="1"/>
  <c r="A47" i="2"/>
  <c r="B47" i="2" s="1"/>
  <c r="D47" i="2" s="1"/>
  <c r="C47" i="2"/>
  <c r="E47" i="2" s="1"/>
  <c r="A48" i="2"/>
  <c r="B48" i="2" s="1"/>
  <c r="D48" i="2" s="1"/>
  <c r="A49" i="2"/>
  <c r="B49" i="2" s="1"/>
  <c r="D49" i="2" s="1"/>
  <c r="A50" i="2"/>
  <c r="B50" i="2" s="1"/>
  <c r="D50" i="2" s="1"/>
  <c r="A51" i="2"/>
  <c r="B51" i="2"/>
  <c r="D51" i="2" s="1"/>
  <c r="C51" i="2"/>
  <c r="E51" i="2" s="1"/>
  <c r="A52" i="2"/>
  <c r="C52" i="2" s="1"/>
  <c r="E52" i="2" s="1"/>
  <c r="B52" i="2"/>
  <c r="D52" i="2" s="1"/>
  <c r="A53" i="2"/>
  <c r="B53" i="2" s="1"/>
  <c r="D53" i="2" s="1"/>
  <c r="A54" i="2"/>
  <c r="B54" i="2" s="1"/>
  <c r="D54" i="2" s="1"/>
  <c r="C54" i="2"/>
  <c r="E54" i="2" s="1"/>
  <c r="A55" i="2"/>
  <c r="B55" i="2" s="1"/>
  <c r="D55" i="2" s="1"/>
  <c r="C55" i="2"/>
  <c r="E55" i="2" s="1"/>
  <c r="A56" i="2"/>
  <c r="B56" i="2" s="1"/>
  <c r="D56" i="2" s="1"/>
  <c r="A57" i="2"/>
  <c r="B57" i="2" s="1"/>
  <c r="D57" i="2" s="1"/>
  <c r="A58" i="2"/>
  <c r="B58" i="2"/>
  <c r="C58" i="2"/>
  <c r="E58" i="2" s="1"/>
  <c r="D58" i="2"/>
  <c r="A59" i="2"/>
  <c r="C59" i="2" s="1"/>
  <c r="E59" i="2" s="1"/>
  <c r="B59" i="2"/>
  <c r="D59" i="2" s="1"/>
  <c r="A60" i="2"/>
  <c r="C60" i="2" s="1"/>
  <c r="E60" i="2" s="1"/>
  <c r="B60" i="2"/>
  <c r="D60" i="2" s="1"/>
  <c r="A61" i="2"/>
  <c r="B61" i="2" s="1"/>
  <c r="D61" i="2" s="1"/>
  <c r="C61" i="2"/>
  <c r="E61" i="2" s="1"/>
  <c r="A62" i="2"/>
  <c r="B62" i="2" s="1"/>
  <c r="D62" i="2" s="1"/>
  <c r="C62" i="2"/>
  <c r="E62" i="2" s="1"/>
  <c r="A63" i="2"/>
  <c r="B63" i="2" s="1"/>
  <c r="D63" i="2" s="1"/>
  <c r="A64" i="2"/>
  <c r="B64" i="2" s="1"/>
  <c r="D64" i="2" s="1"/>
  <c r="A65" i="2"/>
  <c r="B65" i="2" s="1"/>
  <c r="D65" i="2" s="1"/>
  <c r="A66" i="2"/>
  <c r="B66" i="2"/>
  <c r="D66" i="2" s="1"/>
  <c r="C66" i="2"/>
  <c r="E66" i="2" s="1"/>
  <c r="A67" i="2"/>
  <c r="C67" i="2" s="1"/>
  <c r="E67" i="2" s="1"/>
  <c r="B67" i="2"/>
  <c r="D67" i="2" s="1"/>
  <c r="A68" i="2"/>
  <c r="B68" i="2"/>
  <c r="D68" i="2" s="1"/>
  <c r="C68" i="2"/>
  <c r="E68" i="2"/>
  <c r="G4" i="2"/>
  <c r="J4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5" i="2"/>
  <c r="E4" i="2"/>
  <c r="D4" i="2"/>
  <c r="C4" i="2"/>
  <c r="B4" i="2"/>
  <c r="A4" i="2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5" i="1"/>
  <c r="F4" i="1"/>
  <c r="F5" i="1" s="1"/>
  <c r="A5" i="1"/>
  <c r="B5" i="1"/>
  <c r="D5" i="1" s="1"/>
  <c r="C5" i="1"/>
  <c r="E5" i="1" s="1"/>
  <c r="A6" i="1"/>
  <c r="B6" i="1"/>
  <c r="D6" i="1" s="1"/>
  <c r="C6" i="1"/>
  <c r="E6" i="1" s="1"/>
  <c r="A7" i="1"/>
  <c r="B7" i="1"/>
  <c r="C7" i="1"/>
  <c r="D7" i="1"/>
  <c r="E7" i="1"/>
  <c r="A8" i="1"/>
  <c r="B8" i="1"/>
  <c r="D8" i="1" s="1"/>
  <c r="C8" i="1"/>
  <c r="E8" i="1" s="1"/>
  <c r="A9" i="1"/>
  <c r="B9" i="1"/>
  <c r="C9" i="1"/>
  <c r="E9" i="1" s="1"/>
  <c r="D9" i="1"/>
  <c r="A10" i="1"/>
  <c r="B10" i="1"/>
  <c r="D10" i="1" s="1"/>
  <c r="C10" i="1"/>
  <c r="E10" i="1"/>
  <c r="A11" i="1"/>
  <c r="B11" i="1"/>
  <c r="D11" i="1" s="1"/>
  <c r="C11" i="1"/>
  <c r="E11" i="1" s="1"/>
  <c r="A12" i="1"/>
  <c r="B12" i="1"/>
  <c r="C12" i="1"/>
  <c r="D12" i="1"/>
  <c r="E12" i="1"/>
  <c r="A13" i="1"/>
  <c r="B13" i="1"/>
  <c r="D13" i="1" s="1"/>
  <c r="C13" i="1"/>
  <c r="E13" i="1" s="1"/>
  <c r="A14" i="1"/>
  <c r="B14" i="1"/>
  <c r="D14" i="1" s="1"/>
  <c r="C14" i="1"/>
  <c r="E14" i="1" s="1"/>
  <c r="A15" i="1"/>
  <c r="B15" i="1"/>
  <c r="D15" i="1" s="1"/>
  <c r="C15" i="1"/>
  <c r="E15" i="1"/>
  <c r="A16" i="1"/>
  <c r="B16" i="1"/>
  <c r="D16" i="1" s="1"/>
  <c r="C16" i="1"/>
  <c r="E16" i="1" s="1"/>
  <c r="A17" i="1"/>
  <c r="B17" i="1"/>
  <c r="D17" i="1" s="1"/>
  <c r="C17" i="1"/>
  <c r="E17" i="1" s="1"/>
  <c r="A18" i="1"/>
  <c r="B18" i="1"/>
  <c r="D18" i="1" s="1"/>
  <c r="C18" i="1"/>
  <c r="E18" i="1"/>
  <c r="A19" i="1"/>
  <c r="B19" i="1"/>
  <c r="D19" i="1" s="1"/>
  <c r="C19" i="1"/>
  <c r="E19" i="1" s="1"/>
  <c r="A20" i="1"/>
  <c r="B20" i="1"/>
  <c r="D20" i="1" s="1"/>
  <c r="C20" i="1"/>
  <c r="E20" i="1"/>
  <c r="A21" i="1"/>
  <c r="B21" i="1"/>
  <c r="D21" i="1" s="1"/>
  <c r="C21" i="1"/>
  <c r="E21" i="1" s="1"/>
  <c r="A22" i="1"/>
  <c r="B22" i="1"/>
  <c r="D22" i="1" s="1"/>
  <c r="C22" i="1"/>
  <c r="E22" i="1" s="1"/>
  <c r="A23" i="1"/>
  <c r="B23" i="1"/>
  <c r="C23" i="1"/>
  <c r="E23" i="1" s="1"/>
  <c r="D23" i="1"/>
  <c r="A24" i="1"/>
  <c r="B24" i="1"/>
  <c r="D24" i="1" s="1"/>
  <c r="C24" i="1"/>
  <c r="E24" i="1" s="1"/>
  <c r="A25" i="1"/>
  <c r="B25" i="1"/>
  <c r="C25" i="1"/>
  <c r="E25" i="1" s="1"/>
  <c r="D25" i="1"/>
  <c r="A26" i="1"/>
  <c r="B26" i="1"/>
  <c r="D26" i="1" s="1"/>
  <c r="C26" i="1"/>
  <c r="E26" i="1" s="1"/>
  <c r="A27" i="1"/>
  <c r="B27" i="1"/>
  <c r="D27" i="1" s="1"/>
  <c r="C27" i="1"/>
  <c r="E27" i="1" s="1"/>
  <c r="A28" i="1"/>
  <c r="B28" i="1"/>
  <c r="C28" i="1"/>
  <c r="D28" i="1"/>
  <c r="E28" i="1"/>
  <c r="A29" i="1"/>
  <c r="B29" i="1"/>
  <c r="D29" i="1" s="1"/>
  <c r="C29" i="1"/>
  <c r="E29" i="1" s="1"/>
  <c r="A30" i="1"/>
  <c r="B30" i="1"/>
  <c r="D30" i="1" s="1"/>
  <c r="C30" i="1"/>
  <c r="E30" i="1" s="1"/>
  <c r="A31" i="1"/>
  <c r="B31" i="1"/>
  <c r="C31" i="1"/>
  <c r="D31" i="1"/>
  <c r="E31" i="1"/>
  <c r="A32" i="1"/>
  <c r="B32" i="1"/>
  <c r="D32" i="1" s="1"/>
  <c r="C32" i="1"/>
  <c r="E32" i="1" s="1"/>
  <c r="A33" i="1"/>
  <c r="B33" i="1"/>
  <c r="C33" i="1"/>
  <c r="E33" i="1" s="1"/>
  <c r="D33" i="1"/>
  <c r="A34" i="1"/>
  <c r="B34" i="1"/>
  <c r="D34" i="1" s="1"/>
  <c r="C34" i="1"/>
  <c r="E34" i="1" s="1"/>
  <c r="A35" i="1"/>
  <c r="B35" i="1"/>
  <c r="D35" i="1" s="1"/>
  <c r="C35" i="1"/>
  <c r="E35" i="1" s="1"/>
  <c r="A36" i="1"/>
  <c r="B36" i="1"/>
  <c r="D36" i="1" s="1"/>
  <c r="C36" i="1"/>
  <c r="E36" i="1" s="1"/>
  <c r="A37" i="1"/>
  <c r="B37" i="1"/>
  <c r="D37" i="1" s="1"/>
  <c r="C37" i="1"/>
  <c r="E37" i="1" s="1"/>
  <c r="A38" i="1"/>
  <c r="B38" i="1"/>
  <c r="D38" i="1" s="1"/>
  <c r="C38" i="1"/>
  <c r="E38" i="1" s="1"/>
  <c r="A39" i="1"/>
  <c r="B39" i="1"/>
  <c r="C39" i="1"/>
  <c r="E39" i="1" s="1"/>
  <c r="D39" i="1"/>
  <c r="A40" i="1"/>
  <c r="B40" i="1"/>
  <c r="D40" i="1" s="1"/>
  <c r="C40" i="1"/>
  <c r="E40" i="1" s="1"/>
  <c r="A41" i="1"/>
  <c r="B41" i="1"/>
  <c r="C41" i="1"/>
  <c r="E41" i="1" s="1"/>
  <c r="D41" i="1"/>
  <c r="A42" i="1"/>
  <c r="B42" i="1"/>
  <c r="D42" i="1" s="1"/>
  <c r="C42" i="1"/>
  <c r="E42" i="1"/>
  <c r="A43" i="1"/>
  <c r="B43" i="1"/>
  <c r="D43" i="1" s="1"/>
  <c r="C43" i="1"/>
  <c r="E43" i="1" s="1"/>
  <c r="A44" i="1"/>
  <c r="B44" i="1"/>
  <c r="C44" i="1"/>
  <c r="D44" i="1"/>
  <c r="E44" i="1"/>
  <c r="A45" i="1"/>
  <c r="B45" i="1"/>
  <c r="D45" i="1" s="1"/>
  <c r="C45" i="1"/>
  <c r="E45" i="1" s="1"/>
  <c r="A46" i="1"/>
  <c r="B46" i="1"/>
  <c r="D46" i="1" s="1"/>
  <c r="C46" i="1"/>
  <c r="E46" i="1" s="1"/>
  <c r="A47" i="1"/>
  <c r="B47" i="1"/>
  <c r="D47" i="1" s="1"/>
  <c r="C47" i="1"/>
  <c r="E47" i="1"/>
  <c r="A48" i="1"/>
  <c r="B48" i="1"/>
  <c r="D48" i="1" s="1"/>
  <c r="C48" i="1"/>
  <c r="E48" i="1" s="1"/>
  <c r="A49" i="1"/>
  <c r="B49" i="1"/>
  <c r="D49" i="1" s="1"/>
  <c r="C49" i="1"/>
  <c r="E49" i="1" s="1"/>
  <c r="A50" i="1"/>
  <c r="B50" i="1"/>
  <c r="D50" i="1" s="1"/>
  <c r="C50" i="1"/>
  <c r="E50" i="1"/>
  <c r="A51" i="1"/>
  <c r="B51" i="1"/>
  <c r="D51" i="1" s="1"/>
  <c r="C51" i="1"/>
  <c r="E51" i="1" s="1"/>
  <c r="A52" i="1"/>
  <c r="B52" i="1"/>
  <c r="D52" i="1" s="1"/>
  <c r="C52" i="1"/>
  <c r="E52" i="1"/>
  <c r="A53" i="1"/>
  <c r="B53" i="1"/>
  <c r="D53" i="1" s="1"/>
  <c r="C53" i="1"/>
  <c r="E53" i="1" s="1"/>
  <c r="A54" i="1"/>
  <c r="B54" i="1"/>
  <c r="D54" i="1" s="1"/>
  <c r="C54" i="1"/>
  <c r="E54" i="1" s="1"/>
  <c r="A55" i="1"/>
  <c r="B55" i="1"/>
  <c r="C55" i="1"/>
  <c r="D55" i="1"/>
  <c r="E55" i="1"/>
  <c r="A56" i="1"/>
  <c r="B56" i="1"/>
  <c r="D56" i="1" s="1"/>
  <c r="C56" i="1"/>
  <c r="E56" i="1" s="1"/>
  <c r="A57" i="1"/>
  <c r="B57" i="1"/>
  <c r="C57" i="1"/>
  <c r="E57" i="1" s="1"/>
  <c r="D57" i="1"/>
  <c r="A58" i="1"/>
  <c r="B58" i="1"/>
  <c r="D58" i="1" s="1"/>
  <c r="C58" i="1"/>
  <c r="E58" i="1" s="1"/>
  <c r="A59" i="1"/>
  <c r="B59" i="1"/>
  <c r="D59" i="1" s="1"/>
  <c r="C59" i="1"/>
  <c r="E59" i="1" s="1"/>
  <c r="J4" i="1"/>
  <c r="E4" i="1"/>
  <c r="C4" i="1"/>
  <c r="B4" i="1"/>
  <c r="D4" i="1" s="1"/>
  <c r="G4" i="1" s="1"/>
  <c r="A4" i="1"/>
  <c r="C65" i="2" l="1"/>
  <c r="E65" i="2" s="1"/>
  <c r="C57" i="2"/>
  <c r="E57" i="2" s="1"/>
  <c r="C49" i="2"/>
  <c r="E49" i="2" s="1"/>
  <c r="C41" i="2"/>
  <c r="E41" i="2" s="1"/>
  <c r="C33" i="2"/>
  <c r="E33" i="2" s="1"/>
  <c r="C25" i="2"/>
  <c r="E25" i="2" s="1"/>
  <c r="C17" i="2"/>
  <c r="E17" i="2" s="1"/>
  <c r="C9" i="2"/>
  <c r="E9" i="2" s="1"/>
  <c r="C63" i="2"/>
  <c r="E63" i="2" s="1"/>
  <c r="C50" i="2"/>
  <c r="E50" i="2" s="1"/>
  <c r="C42" i="2"/>
  <c r="E42" i="2" s="1"/>
  <c r="C34" i="2"/>
  <c r="E34" i="2" s="1"/>
  <c r="C26" i="2"/>
  <c r="E26" i="2" s="1"/>
  <c r="C18" i="2"/>
  <c r="E18" i="2" s="1"/>
  <c r="C10" i="2"/>
  <c r="E10" i="2" s="1"/>
  <c r="C53" i="2"/>
  <c r="E53" i="2" s="1"/>
  <c r="C45" i="2"/>
  <c r="E45" i="2" s="1"/>
  <c r="C37" i="2"/>
  <c r="E37" i="2" s="1"/>
  <c r="C29" i="2"/>
  <c r="E29" i="2" s="1"/>
  <c r="C21" i="2"/>
  <c r="E21" i="2" s="1"/>
  <c r="C13" i="2"/>
  <c r="E13" i="2" s="1"/>
  <c r="C5" i="2"/>
  <c r="E5" i="2" s="1"/>
  <c r="C64" i="2"/>
  <c r="E64" i="2" s="1"/>
  <c r="C56" i="2"/>
  <c r="E56" i="2" s="1"/>
  <c r="C48" i="2"/>
  <c r="E48" i="2" s="1"/>
  <c r="C40" i="2"/>
  <c r="E40" i="2" s="1"/>
  <c r="C32" i="2"/>
  <c r="E32" i="2" s="1"/>
  <c r="C24" i="2"/>
  <c r="E24" i="2" s="1"/>
  <c r="C16" i="2"/>
  <c r="E16" i="2" s="1"/>
  <c r="C8" i="2"/>
  <c r="E8" i="2" s="1"/>
  <c r="G12" i="1"/>
  <c r="G9" i="1"/>
  <c r="G7" i="1"/>
  <c r="G10" i="1"/>
  <c r="G5" i="1"/>
  <c r="F6" i="1"/>
  <c r="F7" i="1" s="1"/>
  <c r="F8" i="1" s="1"/>
  <c r="F9" i="1" s="1"/>
  <c r="F10" i="1" s="1"/>
  <c r="F11" i="1" s="1"/>
  <c r="F12" i="1" s="1"/>
  <c r="F13" i="1" s="1"/>
  <c r="F14" i="1" l="1"/>
  <c r="G13" i="1"/>
  <c r="G6" i="1"/>
  <c r="G11" i="1"/>
  <c r="G8" i="1"/>
  <c r="F15" i="1" l="1"/>
  <c r="G14" i="1"/>
  <c r="F16" i="1" l="1"/>
  <c r="G15" i="1"/>
  <c r="F17" i="1" l="1"/>
  <c r="G16" i="1"/>
  <c r="F18" i="1" l="1"/>
  <c r="G17" i="1"/>
  <c r="F19" i="1" l="1"/>
  <c r="G18" i="1"/>
  <c r="F20" i="1" l="1"/>
  <c r="G19" i="1"/>
  <c r="F21" i="1" l="1"/>
  <c r="G20" i="1"/>
  <c r="F22" i="1" l="1"/>
  <c r="G21" i="1"/>
  <c r="F23" i="1" l="1"/>
  <c r="G22" i="1"/>
  <c r="F24" i="1" l="1"/>
  <c r="G23" i="1"/>
  <c r="F25" i="1" l="1"/>
  <c r="G24" i="1"/>
  <c r="F26" i="1" l="1"/>
  <c r="G25" i="1"/>
  <c r="F27" i="1" l="1"/>
  <c r="G26" i="1"/>
  <c r="F28" i="1" l="1"/>
  <c r="G27" i="1"/>
  <c r="F29" i="1" l="1"/>
  <c r="G28" i="1"/>
  <c r="F30" i="1" l="1"/>
  <c r="G29" i="1"/>
  <c r="F31" i="1" l="1"/>
  <c r="G30" i="1"/>
  <c r="F32" i="1" l="1"/>
  <c r="G31" i="1"/>
  <c r="F33" i="1" l="1"/>
  <c r="G32" i="1"/>
  <c r="F34" i="1" l="1"/>
  <c r="G33" i="1"/>
  <c r="F35" i="1" l="1"/>
  <c r="G34" i="1"/>
  <c r="F36" i="1" l="1"/>
  <c r="G35" i="1"/>
  <c r="F37" i="1" l="1"/>
  <c r="G36" i="1"/>
  <c r="F38" i="1" l="1"/>
  <c r="G37" i="1"/>
  <c r="F39" i="1" l="1"/>
  <c r="G38" i="1"/>
  <c r="F40" i="1" l="1"/>
  <c r="G39" i="1"/>
  <c r="F41" i="1" l="1"/>
  <c r="G40" i="1"/>
  <c r="F42" i="1" l="1"/>
  <c r="G41" i="1"/>
  <c r="F43" i="1" l="1"/>
  <c r="G42" i="1"/>
  <c r="F44" i="1" l="1"/>
  <c r="G43" i="1"/>
  <c r="F45" i="1" l="1"/>
  <c r="G44" i="1"/>
  <c r="F46" i="1" l="1"/>
  <c r="G45" i="1"/>
  <c r="F47" i="1" l="1"/>
  <c r="G46" i="1"/>
  <c r="F48" i="1" l="1"/>
  <c r="G47" i="1"/>
  <c r="F49" i="1" l="1"/>
  <c r="G48" i="1"/>
  <c r="F50" i="1" l="1"/>
  <c r="G49" i="1"/>
  <c r="F51" i="1" l="1"/>
  <c r="G50" i="1"/>
  <c r="F52" i="1" l="1"/>
  <c r="G51" i="1"/>
  <c r="F53" i="1" l="1"/>
  <c r="G52" i="1"/>
  <c r="F54" i="1" l="1"/>
  <c r="G53" i="1"/>
  <c r="F55" i="1" l="1"/>
  <c r="G54" i="1"/>
  <c r="F56" i="1" l="1"/>
  <c r="G55" i="1"/>
  <c r="F57" i="1" l="1"/>
  <c r="G56" i="1"/>
  <c r="F58" i="1" l="1"/>
  <c r="G57" i="1"/>
  <c r="F59" i="1" l="1"/>
  <c r="G59" i="1" s="1"/>
  <c r="G58" i="1"/>
</calcChain>
</file>

<file path=xl/sharedStrings.xml><?xml version="1.0" encoding="utf-8"?>
<sst xmlns="http://schemas.openxmlformats.org/spreadsheetml/2006/main" count="18" uniqueCount="10">
  <si>
    <t>fc</t>
  </si>
  <si>
    <t>f_h</t>
  </si>
  <si>
    <t>f_l</t>
  </si>
  <si>
    <t>2f_h</t>
  </si>
  <si>
    <t>2f_l</t>
  </si>
  <si>
    <t>n</t>
  </si>
  <si>
    <t>n_max</t>
  </si>
  <si>
    <t>fs_low in MHz</t>
  </si>
  <si>
    <t>fs_high in MHz</t>
  </si>
  <si>
    <t>fs_low in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</si>
</sst>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EA1D-D26C-44A0-97C5-0EC36C78A092}">
  <dimension ref="A3:J59"/>
  <sheetViews>
    <sheetView tabSelected="1" workbookViewId="0">
      <selection activeCell="A3" sqref="A3:J3"/>
    </sheetView>
  </sheetViews>
  <sheetFormatPr defaultRowHeight="15" x14ac:dyDescent="0.25"/>
  <cols>
    <col min="1" max="1" width="13.42578125" customWidth="1"/>
    <col min="2" max="2" width="13.140625" customWidth="1"/>
    <col min="3" max="5" width="12.7109375" bestFit="1" customWidth="1"/>
    <col min="6" max="6" width="9.42578125" bestFit="1" customWidth="1"/>
    <col min="7" max="8" width="17" customWidth="1"/>
  </cols>
  <sheetData>
    <row r="3" spans="1:10" ht="18.7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  <c r="H3" s="2" t="s">
        <v>8</v>
      </c>
      <c r="I3" s="2"/>
      <c r="J3" s="2" t="s">
        <v>6</v>
      </c>
    </row>
    <row r="4" spans="1:10" x14ac:dyDescent="0.25">
      <c r="A4">
        <f>10.7*10^6</f>
        <v>10700000</v>
      </c>
      <c r="B4">
        <f>10.8*10^6</f>
        <v>10800000</v>
      </c>
      <c r="C4">
        <f>10.6*10^6</f>
        <v>10600000</v>
      </c>
      <c r="D4">
        <f>B4*2</f>
        <v>21600000</v>
      </c>
      <c r="E4">
        <f>C4*2</f>
        <v>21200000</v>
      </c>
      <c r="F4">
        <f>1</f>
        <v>1</v>
      </c>
      <c r="G4">
        <f>(D4/F4)/10^6</f>
        <v>21.6</v>
      </c>
      <c r="J4">
        <f>B4/(B4-C4)</f>
        <v>54</v>
      </c>
    </row>
    <row r="5" spans="1:10" x14ac:dyDescent="0.25">
      <c r="A5">
        <f t="shared" ref="A5:A59" si="0">10.7*10^6</f>
        <v>10700000</v>
      </c>
      <c r="B5">
        <f t="shared" ref="B5:B59" si="1">10.8*10^6</f>
        <v>10800000</v>
      </c>
      <c r="C5">
        <f t="shared" ref="C5:C59" si="2">10.6*10^6</f>
        <v>10600000</v>
      </c>
      <c r="D5">
        <f t="shared" ref="D5:D59" si="3">B5*2</f>
        <v>21600000</v>
      </c>
      <c r="E5">
        <f t="shared" ref="E5:E59" si="4">C5*2</f>
        <v>21200000</v>
      </c>
      <c r="F5">
        <f>F4+1</f>
        <v>2</v>
      </c>
      <c r="G5">
        <f t="shared" ref="G5:G59" si="5">(D5/F5)/10^6</f>
        <v>10.8</v>
      </c>
      <c r="H5">
        <f>(E5/(F5-1))/10^6</f>
        <v>21.2</v>
      </c>
    </row>
    <row r="6" spans="1:10" ht="18.75" x14ac:dyDescent="0.3">
      <c r="A6" s="1">
        <f t="shared" si="0"/>
        <v>10700000</v>
      </c>
      <c r="B6" s="1">
        <f t="shared" si="1"/>
        <v>10800000</v>
      </c>
      <c r="C6" s="1">
        <f t="shared" si="2"/>
        <v>10600000</v>
      </c>
      <c r="D6" s="1">
        <f t="shared" si="3"/>
        <v>21600000</v>
      </c>
      <c r="E6" s="1">
        <f t="shared" si="4"/>
        <v>21200000</v>
      </c>
      <c r="F6" s="1">
        <f t="shared" ref="F6:F59" si="6">F5+1</f>
        <v>3</v>
      </c>
      <c r="G6" s="1">
        <f t="shared" si="5"/>
        <v>7.2</v>
      </c>
      <c r="H6" s="1">
        <f t="shared" ref="H6:H59" si="7">(E6/(F6-1))/10^6</f>
        <v>10.6</v>
      </c>
      <c r="I6" s="2"/>
    </row>
    <row r="7" spans="1:10" x14ac:dyDescent="0.25">
      <c r="A7">
        <f t="shared" si="0"/>
        <v>10700000</v>
      </c>
      <c r="B7">
        <f t="shared" si="1"/>
        <v>10800000</v>
      </c>
      <c r="C7">
        <f t="shared" si="2"/>
        <v>10600000</v>
      </c>
      <c r="D7">
        <f t="shared" si="3"/>
        <v>21600000</v>
      </c>
      <c r="E7">
        <f t="shared" si="4"/>
        <v>21200000</v>
      </c>
      <c r="F7">
        <f t="shared" si="6"/>
        <v>4</v>
      </c>
      <c r="G7">
        <f t="shared" si="5"/>
        <v>5.4</v>
      </c>
      <c r="H7">
        <f t="shared" si="7"/>
        <v>7.0666666666666673</v>
      </c>
    </row>
    <row r="8" spans="1:10" x14ac:dyDescent="0.25">
      <c r="A8">
        <f t="shared" si="0"/>
        <v>10700000</v>
      </c>
      <c r="B8">
        <f t="shared" si="1"/>
        <v>10800000</v>
      </c>
      <c r="C8">
        <f t="shared" si="2"/>
        <v>10600000</v>
      </c>
      <c r="D8">
        <f t="shared" si="3"/>
        <v>21600000</v>
      </c>
      <c r="E8">
        <f t="shared" si="4"/>
        <v>21200000</v>
      </c>
      <c r="F8">
        <f t="shared" si="6"/>
        <v>5</v>
      </c>
      <c r="G8">
        <f t="shared" si="5"/>
        <v>4.32</v>
      </c>
      <c r="H8">
        <f t="shared" si="7"/>
        <v>5.3</v>
      </c>
    </row>
    <row r="9" spans="1:10" x14ac:dyDescent="0.25">
      <c r="A9">
        <f t="shared" si="0"/>
        <v>10700000</v>
      </c>
      <c r="B9">
        <f t="shared" si="1"/>
        <v>10800000</v>
      </c>
      <c r="C9">
        <f t="shared" si="2"/>
        <v>10600000</v>
      </c>
      <c r="D9">
        <f t="shared" si="3"/>
        <v>21600000</v>
      </c>
      <c r="E9">
        <f t="shared" si="4"/>
        <v>21200000</v>
      </c>
      <c r="F9">
        <f t="shared" si="6"/>
        <v>6</v>
      </c>
      <c r="G9">
        <f t="shared" si="5"/>
        <v>3.6</v>
      </c>
      <c r="H9">
        <f t="shared" si="7"/>
        <v>4.24</v>
      </c>
    </row>
    <row r="10" spans="1:10" x14ac:dyDescent="0.25">
      <c r="A10">
        <f t="shared" si="0"/>
        <v>10700000</v>
      </c>
      <c r="B10">
        <f t="shared" si="1"/>
        <v>10800000</v>
      </c>
      <c r="C10">
        <f t="shared" si="2"/>
        <v>10600000</v>
      </c>
      <c r="D10">
        <f t="shared" si="3"/>
        <v>21600000</v>
      </c>
      <c r="E10">
        <f t="shared" si="4"/>
        <v>21200000</v>
      </c>
      <c r="F10">
        <f t="shared" si="6"/>
        <v>7</v>
      </c>
      <c r="G10">
        <f t="shared" si="5"/>
        <v>3.0857142857142859</v>
      </c>
      <c r="H10">
        <f t="shared" si="7"/>
        <v>3.5333333333333337</v>
      </c>
    </row>
    <row r="11" spans="1:10" x14ac:dyDescent="0.25">
      <c r="A11">
        <f t="shared" si="0"/>
        <v>10700000</v>
      </c>
      <c r="B11">
        <f t="shared" si="1"/>
        <v>10800000</v>
      </c>
      <c r="C11">
        <f t="shared" si="2"/>
        <v>10600000</v>
      </c>
      <c r="D11">
        <f t="shared" si="3"/>
        <v>21600000</v>
      </c>
      <c r="E11">
        <f t="shared" si="4"/>
        <v>21200000</v>
      </c>
      <c r="F11">
        <f t="shared" si="6"/>
        <v>8</v>
      </c>
      <c r="G11">
        <f t="shared" si="5"/>
        <v>2.7</v>
      </c>
      <c r="H11">
        <f t="shared" si="7"/>
        <v>3.0285714285714285</v>
      </c>
    </row>
    <row r="12" spans="1:10" x14ac:dyDescent="0.25">
      <c r="A12">
        <f t="shared" si="0"/>
        <v>10700000</v>
      </c>
      <c r="B12">
        <f t="shared" si="1"/>
        <v>10800000</v>
      </c>
      <c r="C12">
        <f t="shared" si="2"/>
        <v>10600000</v>
      </c>
      <c r="D12">
        <f t="shared" si="3"/>
        <v>21600000</v>
      </c>
      <c r="E12">
        <f t="shared" si="4"/>
        <v>21200000</v>
      </c>
      <c r="F12">
        <f t="shared" si="6"/>
        <v>9</v>
      </c>
      <c r="G12">
        <f t="shared" si="5"/>
        <v>2.4</v>
      </c>
      <c r="H12">
        <f t="shared" si="7"/>
        <v>2.65</v>
      </c>
    </row>
    <row r="13" spans="1:10" x14ac:dyDescent="0.25">
      <c r="A13">
        <f t="shared" si="0"/>
        <v>10700000</v>
      </c>
      <c r="B13">
        <f t="shared" si="1"/>
        <v>10800000</v>
      </c>
      <c r="C13">
        <f t="shared" si="2"/>
        <v>10600000</v>
      </c>
      <c r="D13">
        <f t="shared" si="3"/>
        <v>21600000</v>
      </c>
      <c r="E13">
        <f t="shared" si="4"/>
        <v>21200000</v>
      </c>
      <c r="F13">
        <f t="shared" si="6"/>
        <v>10</v>
      </c>
      <c r="G13">
        <f t="shared" si="5"/>
        <v>2.16</v>
      </c>
      <c r="H13">
        <f t="shared" si="7"/>
        <v>2.3555555555555556</v>
      </c>
    </row>
    <row r="14" spans="1:10" x14ac:dyDescent="0.25">
      <c r="A14">
        <f t="shared" si="0"/>
        <v>10700000</v>
      </c>
      <c r="B14">
        <f t="shared" si="1"/>
        <v>10800000</v>
      </c>
      <c r="C14">
        <f t="shared" si="2"/>
        <v>10600000</v>
      </c>
      <c r="D14">
        <f t="shared" si="3"/>
        <v>21600000</v>
      </c>
      <c r="E14">
        <f t="shared" si="4"/>
        <v>21200000</v>
      </c>
      <c r="F14">
        <f t="shared" si="6"/>
        <v>11</v>
      </c>
      <c r="G14">
        <f t="shared" si="5"/>
        <v>1.9636363636363636</v>
      </c>
      <c r="H14">
        <f t="shared" si="7"/>
        <v>2.12</v>
      </c>
    </row>
    <row r="15" spans="1:10" x14ac:dyDescent="0.25">
      <c r="A15">
        <f t="shared" si="0"/>
        <v>10700000</v>
      </c>
      <c r="B15">
        <f t="shared" si="1"/>
        <v>10800000</v>
      </c>
      <c r="C15">
        <f t="shared" si="2"/>
        <v>10600000</v>
      </c>
      <c r="D15">
        <f t="shared" si="3"/>
        <v>21600000</v>
      </c>
      <c r="E15">
        <f t="shared" si="4"/>
        <v>21200000</v>
      </c>
      <c r="F15">
        <f t="shared" si="6"/>
        <v>12</v>
      </c>
      <c r="G15">
        <f t="shared" si="5"/>
        <v>1.8</v>
      </c>
      <c r="H15">
        <f t="shared" si="7"/>
        <v>1.9272727272727272</v>
      </c>
    </row>
    <row r="16" spans="1:10" x14ac:dyDescent="0.25">
      <c r="A16">
        <f t="shared" si="0"/>
        <v>10700000</v>
      </c>
      <c r="B16">
        <f t="shared" si="1"/>
        <v>10800000</v>
      </c>
      <c r="C16">
        <f t="shared" si="2"/>
        <v>10600000</v>
      </c>
      <c r="D16">
        <f t="shared" si="3"/>
        <v>21600000</v>
      </c>
      <c r="E16">
        <f t="shared" si="4"/>
        <v>21200000</v>
      </c>
      <c r="F16">
        <f t="shared" si="6"/>
        <v>13</v>
      </c>
      <c r="G16">
        <f t="shared" si="5"/>
        <v>1.6615384615384614</v>
      </c>
      <c r="H16">
        <f t="shared" si="7"/>
        <v>1.7666666666666668</v>
      </c>
    </row>
    <row r="17" spans="1:8" x14ac:dyDescent="0.25">
      <c r="A17">
        <f t="shared" si="0"/>
        <v>10700000</v>
      </c>
      <c r="B17">
        <f t="shared" si="1"/>
        <v>10800000</v>
      </c>
      <c r="C17">
        <f t="shared" si="2"/>
        <v>10600000</v>
      </c>
      <c r="D17">
        <f t="shared" si="3"/>
        <v>21600000</v>
      </c>
      <c r="E17">
        <f t="shared" si="4"/>
        <v>21200000</v>
      </c>
      <c r="F17">
        <f t="shared" si="6"/>
        <v>14</v>
      </c>
      <c r="G17">
        <f t="shared" si="5"/>
        <v>1.5428571428571429</v>
      </c>
      <c r="H17">
        <f t="shared" si="7"/>
        <v>1.6307692307692307</v>
      </c>
    </row>
    <row r="18" spans="1:8" x14ac:dyDescent="0.25">
      <c r="A18">
        <f t="shared" si="0"/>
        <v>10700000</v>
      </c>
      <c r="B18">
        <f t="shared" si="1"/>
        <v>10800000</v>
      </c>
      <c r="C18">
        <f t="shared" si="2"/>
        <v>10600000</v>
      </c>
      <c r="D18">
        <f t="shared" si="3"/>
        <v>21600000</v>
      </c>
      <c r="E18">
        <f t="shared" si="4"/>
        <v>21200000</v>
      </c>
      <c r="F18">
        <f t="shared" si="6"/>
        <v>15</v>
      </c>
      <c r="G18">
        <f t="shared" si="5"/>
        <v>1.44</v>
      </c>
      <c r="H18">
        <f t="shared" si="7"/>
        <v>1.5142857142857142</v>
      </c>
    </row>
    <row r="19" spans="1:8" x14ac:dyDescent="0.25">
      <c r="A19">
        <f t="shared" si="0"/>
        <v>10700000</v>
      </c>
      <c r="B19">
        <f t="shared" si="1"/>
        <v>10800000</v>
      </c>
      <c r="C19">
        <f t="shared" si="2"/>
        <v>10600000</v>
      </c>
      <c r="D19">
        <f t="shared" si="3"/>
        <v>21600000</v>
      </c>
      <c r="E19">
        <f t="shared" si="4"/>
        <v>21200000</v>
      </c>
      <c r="F19">
        <f t="shared" si="6"/>
        <v>16</v>
      </c>
      <c r="G19">
        <f t="shared" si="5"/>
        <v>1.35</v>
      </c>
      <c r="H19">
        <f t="shared" si="7"/>
        <v>1.4133333333333333</v>
      </c>
    </row>
    <row r="20" spans="1:8" x14ac:dyDescent="0.25">
      <c r="A20">
        <f t="shared" si="0"/>
        <v>10700000</v>
      </c>
      <c r="B20">
        <f t="shared" si="1"/>
        <v>10800000</v>
      </c>
      <c r="C20">
        <f t="shared" si="2"/>
        <v>10600000</v>
      </c>
      <c r="D20">
        <f t="shared" si="3"/>
        <v>21600000</v>
      </c>
      <c r="E20">
        <f t="shared" si="4"/>
        <v>21200000</v>
      </c>
      <c r="F20">
        <f t="shared" si="6"/>
        <v>17</v>
      </c>
      <c r="G20">
        <f t="shared" si="5"/>
        <v>1.2705882352941176</v>
      </c>
      <c r="H20">
        <f t="shared" si="7"/>
        <v>1.325</v>
      </c>
    </row>
    <row r="21" spans="1:8" x14ac:dyDescent="0.25">
      <c r="A21">
        <f t="shared" si="0"/>
        <v>10700000</v>
      </c>
      <c r="B21">
        <f t="shared" si="1"/>
        <v>10800000</v>
      </c>
      <c r="C21">
        <f t="shared" si="2"/>
        <v>10600000</v>
      </c>
      <c r="D21">
        <f t="shared" si="3"/>
        <v>21600000</v>
      </c>
      <c r="E21">
        <f t="shared" si="4"/>
        <v>21200000</v>
      </c>
      <c r="F21">
        <f t="shared" si="6"/>
        <v>18</v>
      </c>
      <c r="G21">
        <f t="shared" si="5"/>
        <v>1.2</v>
      </c>
      <c r="H21">
        <f t="shared" si="7"/>
        <v>1.2470588235294118</v>
      </c>
    </row>
    <row r="22" spans="1:8" x14ac:dyDescent="0.25">
      <c r="A22">
        <f t="shared" si="0"/>
        <v>10700000</v>
      </c>
      <c r="B22">
        <f t="shared" si="1"/>
        <v>10800000</v>
      </c>
      <c r="C22">
        <f t="shared" si="2"/>
        <v>10600000</v>
      </c>
      <c r="D22">
        <f t="shared" si="3"/>
        <v>21600000</v>
      </c>
      <c r="E22">
        <f t="shared" si="4"/>
        <v>21200000</v>
      </c>
      <c r="F22">
        <f t="shared" si="6"/>
        <v>19</v>
      </c>
      <c r="G22">
        <f t="shared" si="5"/>
        <v>1.1368421052631579</v>
      </c>
      <c r="H22">
        <f t="shared" si="7"/>
        <v>1.1777777777777778</v>
      </c>
    </row>
    <row r="23" spans="1:8" x14ac:dyDescent="0.25">
      <c r="A23">
        <f t="shared" si="0"/>
        <v>10700000</v>
      </c>
      <c r="B23">
        <f t="shared" si="1"/>
        <v>10800000</v>
      </c>
      <c r="C23">
        <f t="shared" si="2"/>
        <v>10600000</v>
      </c>
      <c r="D23">
        <f t="shared" si="3"/>
        <v>21600000</v>
      </c>
      <c r="E23">
        <f t="shared" si="4"/>
        <v>21200000</v>
      </c>
      <c r="F23">
        <f t="shared" si="6"/>
        <v>20</v>
      </c>
      <c r="G23">
        <f t="shared" si="5"/>
        <v>1.08</v>
      </c>
      <c r="H23">
        <f t="shared" si="7"/>
        <v>1.1157894736842107</v>
      </c>
    </row>
    <row r="24" spans="1:8" x14ac:dyDescent="0.25">
      <c r="A24">
        <f t="shared" si="0"/>
        <v>10700000</v>
      </c>
      <c r="B24">
        <f t="shared" si="1"/>
        <v>10800000</v>
      </c>
      <c r="C24">
        <f t="shared" si="2"/>
        <v>10600000</v>
      </c>
      <c r="D24">
        <f t="shared" si="3"/>
        <v>21600000</v>
      </c>
      <c r="E24">
        <f t="shared" si="4"/>
        <v>21200000</v>
      </c>
      <c r="F24">
        <f t="shared" si="6"/>
        <v>21</v>
      </c>
      <c r="G24">
        <f t="shared" si="5"/>
        <v>1.0285714285714285</v>
      </c>
      <c r="H24">
        <f t="shared" si="7"/>
        <v>1.06</v>
      </c>
    </row>
    <row r="25" spans="1:8" ht="18.75" x14ac:dyDescent="0.3">
      <c r="A25" s="1">
        <f t="shared" si="0"/>
        <v>10700000</v>
      </c>
      <c r="B25" s="1">
        <f t="shared" si="1"/>
        <v>10800000</v>
      </c>
      <c r="C25" s="1">
        <f t="shared" si="2"/>
        <v>10600000</v>
      </c>
      <c r="D25" s="1">
        <f t="shared" si="3"/>
        <v>21600000</v>
      </c>
      <c r="E25" s="1">
        <f t="shared" si="4"/>
        <v>21200000</v>
      </c>
      <c r="F25" s="1">
        <f t="shared" si="6"/>
        <v>22</v>
      </c>
      <c r="G25" s="1">
        <f t="shared" si="5"/>
        <v>0.98181818181818181</v>
      </c>
      <c r="H25" s="1">
        <f t="shared" si="7"/>
        <v>1.0095238095238095</v>
      </c>
    </row>
    <row r="26" spans="1:8" x14ac:dyDescent="0.25">
      <c r="A26">
        <f t="shared" si="0"/>
        <v>10700000</v>
      </c>
      <c r="B26">
        <f t="shared" si="1"/>
        <v>10800000</v>
      </c>
      <c r="C26">
        <f t="shared" si="2"/>
        <v>10600000</v>
      </c>
      <c r="D26">
        <f t="shared" si="3"/>
        <v>21600000</v>
      </c>
      <c r="E26">
        <f t="shared" si="4"/>
        <v>21200000</v>
      </c>
      <c r="F26">
        <f t="shared" si="6"/>
        <v>23</v>
      </c>
      <c r="G26">
        <f t="shared" si="5"/>
        <v>0.9391304347826086</v>
      </c>
      <c r="H26">
        <f t="shared" si="7"/>
        <v>0.96363636363636362</v>
      </c>
    </row>
    <row r="27" spans="1:8" x14ac:dyDescent="0.25">
      <c r="A27">
        <f t="shared" si="0"/>
        <v>10700000</v>
      </c>
      <c r="B27">
        <f t="shared" si="1"/>
        <v>10800000</v>
      </c>
      <c r="C27">
        <f t="shared" si="2"/>
        <v>10600000</v>
      </c>
      <c r="D27">
        <f t="shared" si="3"/>
        <v>21600000</v>
      </c>
      <c r="E27">
        <f t="shared" si="4"/>
        <v>21200000</v>
      </c>
      <c r="F27">
        <f t="shared" si="6"/>
        <v>24</v>
      </c>
      <c r="G27">
        <f t="shared" si="5"/>
        <v>0.9</v>
      </c>
      <c r="H27">
        <f t="shared" si="7"/>
        <v>0.92173913043478262</v>
      </c>
    </row>
    <row r="28" spans="1:8" x14ac:dyDescent="0.25">
      <c r="A28">
        <f t="shared" si="0"/>
        <v>10700000</v>
      </c>
      <c r="B28">
        <f t="shared" si="1"/>
        <v>10800000</v>
      </c>
      <c r="C28">
        <f t="shared" si="2"/>
        <v>10600000</v>
      </c>
      <c r="D28">
        <f t="shared" si="3"/>
        <v>21600000</v>
      </c>
      <c r="E28">
        <f t="shared" si="4"/>
        <v>21200000</v>
      </c>
      <c r="F28">
        <f t="shared" si="6"/>
        <v>25</v>
      </c>
      <c r="G28">
        <f t="shared" si="5"/>
        <v>0.86399999999999999</v>
      </c>
      <c r="H28">
        <f t="shared" si="7"/>
        <v>0.88333333333333341</v>
      </c>
    </row>
    <row r="29" spans="1:8" x14ac:dyDescent="0.25">
      <c r="A29">
        <f t="shared" si="0"/>
        <v>10700000</v>
      </c>
      <c r="B29">
        <f t="shared" si="1"/>
        <v>10800000</v>
      </c>
      <c r="C29">
        <f t="shared" si="2"/>
        <v>10600000</v>
      </c>
      <c r="D29">
        <f t="shared" si="3"/>
        <v>21600000</v>
      </c>
      <c r="E29">
        <f t="shared" si="4"/>
        <v>21200000</v>
      </c>
      <c r="F29">
        <f t="shared" si="6"/>
        <v>26</v>
      </c>
      <c r="G29">
        <f t="shared" si="5"/>
        <v>0.8307692307692307</v>
      </c>
      <c r="H29">
        <f t="shared" si="7"/>
        <v>0.84799999999999998</v>
      </c>
    </row>
    <row r="30" spans="1:8" x14ac:dyDescent="0.25">
      <c r="A30">
        <f t="shared" si="0"/>
        <v>10700000</v>
      </c>
      <c r="B30">
        <f t="shared" si="1"/>
        <v>10800000</v>
      </c>
      <c r="C30">
        <f t="shared" si="2"/>
        <v>10600000</v>
      </c>
      <c r="D30">
        <f t="shared" si="3"/>
        <v>21600000</v>
      </c>
      <c r="E30">
        <f t="shared" si="4"/>
        <v>21200000</v>
      </c>
      <c r="F30">
        <f t="shared" si="6"/>
        <v>27</v>
      </c>
      <c r="G30">
        <f t="shared" si="5"/>
        <v>0.8</v>
      </c>
      <c r="H30">
        <f t="shared" si="7"/>
        <v>0.81538461538461537</v>
      </c>
    </row>
    <row r="31" spans="1:8" x14ac:dyDescent="0.25">
      <c r="A31">
        <f t="shared" si="0"/>
        <v>10700000</v>
      </c>
      <c r="B31">
        <f t="shared" si="1"/>
        <v>10800000</v>
      </c>
      <c r="C31">
        <f t="shared" si="2"/>
        <v>10600000</v>
      </c>
      <c r="D31">
        <f t="shared" si="3"/>
        <v>21600000</v>
      </c>
      <c r="E31">
        <f t="shared" si="4"/>
        <v>21200000</v>
      </c>
      <c r="F31">
        <f t="shared" si="6"/>
        <v>28</v>
      </c>
      <c r="G31">
        <f t="shared" si="5"/>
        <v>0.77142857142857146</v>
      </c>
      <c r="H31">
        <f t="shared" si="7"/>
        <v>0.78518518518518521</v>
      </c>
    </row>
    <row r="32" spans="1:8" x14ac:dyDescent="0.25">
      <c r="A32">
        <f t="shared" si="0"/>
        <v>10700000</v>
      </c>
      <c r="B32">
        <f t="shared" si="1"/>
        <v>10800000</v>
      </c>
      <c r="C32">
        <f t="shared" si="2"/>
        <v>10600000</v>
      </c>
      <c r="D32">
        <f t="shared" si="3"/>
        <v>21600000</v>
      </c>
      <c r="E32">
        <f t="shared" si="4"/>
        <v>21200000</v>
      </c>
      <c r="F32">
        <f t="shared" si="6"/>
        <v>29</v>
      </c>
      <c r="G32">
        <f t="shared" si="5"/>
        <v>0.7448275862068966</v>
      </c>
      <c r="H32">
        <f t="shared" si="7"/>
        <v>0.75714285714285712</v>
      </c>
    </row>
    <row r="33" spans="1:8" x14ac:dyDescent="0.25">
      <c r="A33">
        <f t="shared" si="0"/>
        <v>10700000</v>
      </c>
      <c r="B33">
        <f t="shared" si="1"/>
        <v>10800000</v>
      </c>
      <c r="C33">
        <f t="shared" si="2"/>
        <v>10600000</v>
      </c>
      <c r="D33">
        <f t="shared" si="3"/>
        <v>21600000</v>
      </c>
      <c r="E33">
        <f t="shared" si="4"/>
        <v>21200000</v>
      </c>
      <c r="F33">
        <f t="shared" si="6"/>
        <v>30</v>
      </c>
      <c r="G33">
        <f t="shared" si="5"/>
        <v>0.72</v>
      </c>
      <c r="H33">
        <f t="shared" si="7"/>
        <v>0.7310344827586206</v>
      </c>
    </row>
    <row r="34" spans="1:8" x14ac:dyDescent="0.25">
      <c r="A34">
        <f t="shared" si="0"/>
        <v>10700000</v>
      </c>
      <c r="B34">
        <f t="shared" si="1"/>
        <v>10800000</v>
      </c>
      <c r="C34">
        <f t="shared" si="2"/>
        <v>10600000</v>
      </c>
      <c r="D34">
        <f t="shared" si="3"/>
        <v>21600000</v>
      </c>
      <c r="E34">
        <f t="shared" si="4"/>
        <v>21200000</v>
      </c>
      <c r="F34">
        <f t="shared" si="6"/>
        <v>31</v>
      </c>
      <c r="G34">
        <f t="shared" si="5"/>
        <v>0.6967741935483871</v>
      </c>
      <c r="H34">
        <f t="shared" si="7"/>
        <v>0.70666666666666667</v>
      </c>
    </row>
    <row r="35" spans="1:8" x14ac:dyDescent="0.25">
      <c r="A35">
        <f t="shared" si="0"/>
        <v>10700000</v>
      </c>
      <c r="B35">
        <f t="shared" si="1"/>
        <v>10800000</v>
      </c>
      <c r="C35">
        <f t="shared" si="2"/>
        <v>10600000</v>
      </c>
      <c r="D35">
        <f t="shared" si="3"/>
        <v>21600000</v>
      </c>
      <c r="E35">
        <f t="shared" si="4"/>
        <v>21200000</v>
      </c>
      <c r="F35">
        <f t="shared" si="6"/>
        <v>32</v>
      </c>
      <c r="G35">
        <f t="shared" si="5"/>
        <v>0.67500000000000004</v>
      </c>
      <c r="H35">
        <f t="shared" si="7"/>
        <v>0.68387096774193556</v>
      </c>
    </row>
    <row r="36" spans="1:8" x14ac:dyDescent="0.25">
      <c r="A36">
        <f t="shared" si="0"/>
        <v>10700000</v>
      </c>
      <c r="B36">
        <f t="shared" si="1"/>
        <v>10800000</v>
      </c>
      <c r="C36">
        <f t="shared" si="2"/>
        <v>10600000</v>
      </c>
      <c r="D36">
        <f t="shared" si="3"/>
        <v>21600000</v>
      </c>
      <c r="E36">
        <f t="shared" si="4"/>
        <v>21200000</v>
      </c>
      <c r="F36">
        <f t="shared" si="6"/>
        <v>33</v>
      </c>
      <c r="G36">
        <f t="shared" si="5"/>
        <v>0.65454545454545454</v>
      </c>
      <c r="H36">
        <f t="shared" si="7"/>
        <v>0.66249999999999998</v>
      </c>
    </row>
    <row r="37" spans="1:8" x14ac:dyDescent="0.25">
      <c r="A37">
        <f t="shared" si="0"/>
        <v>10700000</v>
      </c>
      <c r="B37">
        <f t="shared" si="1"/>
        <v>10800000</v>
      </c>
      <c r="C37">
        <f t="shared" si="2"/>
        <v>10600000</v>
      </c>
      <c r="D37">
        <f t="shared" si="3"/>
        <v>21600000</v>
      </c>
      <c r="E37">
        <f t="shared" si="4"/>
        <v>21200000</v>
      </c>
      <c r="F37">
        <f t="shared" si="6"/>
        <v>34</v>
      </c>
      <c r="G37">
        <f t="shared" si="5"/>
        <v>0.63529411764705879</v>
      </c>
      <c r="H37">
        <f t="shared" si="7"/>
        <v>0.64242424242424245</v>
      </c>
    </row>
    <row r="38" spans="1:8" x14ac:dyDescent="0.25">
      <c r="A38">
        <f t="shared" si="0"/>
        <v>10700000</v>
      </c>
      <c r="B38">
        <f t="shared" si="1"/>
        <v>10800000</v>
      </c>
      <c r="C38">
        <f t="shared" si="2"/>
        <v>10600000</v>
      </c>
      <c r="D38">
        <f t="shared" si="3"/>
        <v>21600000</v>
      </c>
      <c r="E38">
        <f t="shared" si="4"/>
        <v>21200000</v>
      </c>
      <c r="F38">
        <f t="shared" si="6"/>
        <v>35</v>
      </c>
      <c r="G38">
        <f t="shared" si="5"/>
        <v>0.6171428571428571</v>
      </c>
      <c r="H38">
        <f t="shared" si="7"/>
        <v>0.62352941176470589</v>
      </c>
    </row>
    <row r="39" spans="1:8" x14ac:dyDescent="0.25">
      <c r="A39">
        <f t="shared" si="0"/>
        <v>10700000</v>
      </c>
      <c r="B39">
        <f t="shared" si="1"/>
        <v>10800000</v>
      </c>
      <c r="C39">
        <f t="shared" si="2"/>
        <v>10600000</v>
      </c>
      <c r="D39">
        <f t="shared" si="3"/>
        <v>21600000</v>
      </c>
      <c r="E39">
        <f t="shared" si="4"/>
        <v>21200000</v>
      </c>
      <c r="F39">
        <f t="shared" si="6"/>
        <v>36</v>
      </c>
      <c r="G39">
        <f t="shared" si="5"/>
        <v>0.6</v>
      </c>
      <c r="H39">
        <f t="shared" si="7"/>
        <v>0.60571428571428565</v>
      </c>
    </row>
    <row r="40" spans="1:8" x14ac:dyDescent="0.25">
      <c r="A40">
        <f t="shared" si="0"/>
        <v>10700000</v>
      </c>
      <c r="B40">
        <f t="shared" si="1"/>
        <v>10800000</v>
      </c>
      <c r="C40">
        <f t="shared" si="2"/>
        <v>10600000</v>
      </c>
      <c r="D40">
        <f t="shared" si="3"/>
        <v>21600000</v>
      </c>
      <c r="E40">
        <f t="shared" si="4"/>
        <v>21200000</v>
      </c>
      <c r="F40">
        <f t="shared" si="6"/>
        <v>37</v>
      </c>
      <c r="G40">
        <f t="shared" si="5"/>
        <v>0.58378378378378382</v>
      </c>
      <c r="H40">
        <f t="shared" si="7"/>
        <v>0.58888888888888891</v>
      </c>
    </row>
    <row r="41" spans="1:8" x14ac:dyDescent="0.25">
      <c r="A41">
        <f t="shared" si="0"/>
        <v>10700000</v>
      </c>
      <c r="B41">
        <f t="shared" si="1"/>
        <v>10800000</v>
      </c>
      <c r="C41">
        <f t="shared" si="2"/>
        <v>10600000</v>
      </c>
      <c r="D41">
        <f t="shared" si="3"/>
        <v>21600000</v>
      </c>
      <c r="E41">
        <f t="shared" si="4"/>
        <v>21200000</v>
      </c>
      <c r="F41">
        <f t="shared" si="6"/>
        <v>38</v>
      </c>
      <c r="G41">
        <f t="shared" si="5"/>
        <v>0.56842105263157894</v>
      </c>
      <c r="H41">
        <f t="shared" si="7"/>
        <v>0.572972972972973</v>
      </c>
    </row>
    <row r="42" spans="1:8" x14ac:dyDescent="0.25">
      <c r="A42">
        <f t="shared" si="0"/>
        <v>10700000</v>
      </c>
      <c r="B42">
        <f t="shared" si="1"/>
        <v>10800000</v>
      </c>
      <c r="C42">
        <f t="shared" si="2"/>
        <v>10600000</v>
      </c>
      <c r="D42">
        <f t="shared" si="3"/>
        <v>21600000</v>
      </c>
      <c r="E42">
        <f t="shared" si="4"/>
        <v>21200000</v>
      </c>
      <c r="F42">
        <f t="shared" si="6"/>
        <v>39</v>
      </c>
      <c r="G42">
        <f t="shared" si="5"/>
        <v>0.55384615384615388</v>
      </c>
      <c r="H42">
        <f t="shared" si="7"/>
        <v>0.55789473684210533</v>
      </c>
    </row>
    <row r="43" spans="1:8" x14ac:dyDescent="0.25">
      <c r="A43">
        <f t="shared" si="0"/>
        <v>10700000</v>
      </c>
      <c r="B43">
        <f t="shared" si="1"/>
        <v>10800000</v>
      </c>
      <c r="C43">
        <f t="shared" si="2"/>
        <v>10600000</v>
      </c>
      <c r="D43">
        <f t="shared" si="3"/>
        <v>21600000</v>
      </c>
      <c r="E43">
        <f t="shared" si="4"/>
        <v>21200000</v>
      </c>
      <c r="F43">
        <f t="shared" si="6"/>
        <v>40</v>
      </c>
      <c r="G43">
        <f t="shared" si="5"/>
        <v>0.54</v>
      </c>
      <c r="H43">
        <f t="shared" si="7"/>
        <v>0.54358974358974366</v>
      </c>
    </row>
    <row r="44" spans="1:8" x14ac:dyDescent="0.25">
      <c r="A44">
        <f t="shared" si="0"/>
        <v>10700000</v>
      </c>
      <c r="B44">
        <f t="shared" si="1"/>
        <v>10800000</v>
      </c>
      <c r="C44">
        <f t="shared" si="2"/>
        <v>10600000</v>
      </c>
      <c r="D44">
        <f t="shared" si="3"/>
        <v>21600000</v>
      </c>
      <c r="E44">
        <f t="shared" si="4"/>
        <v>21200000</v>
      </c>
      <c r="F44">
        <f t="shared" si="6"/>
        <v>41</v>
      </c>
      <c r="G44">
        <f t="shared" si="5"/>
        <v>0.52682926829268295</v>
      </c>
      <c r="H44">
        <f t="shared" si="7"/>
        <v>0.53</v>
      </c>
    </row>
    <row r="45" spans="1:8" x14ac:dyDescent="0.25">
      <c r="A45">
        <f t="shared" si="0"/>
        <v>10700000</v>
      </c>
      <c r="B45">
        <f t="shared" si="1"/>
        <v>10800000</v>
      </c>
      <c r="C45">
        <f t="shared" si="2"/>
        <v>10600000</v>
      </c>
      <c r="D45">
        <f t="shared" si="3"/>
        <v>21600000</v>
      </c>
      <c r="E45">
        <f t="shared" si="4"/>
        <v>21200000</v>
      </c>
      <c r="F45">
        <f t="shared" si="6"/>
        <v>42</v>
      </c>
      <c r="G45">
        <f t="shared" si="5"/>
        <v>0.51428571428571423</v>
      </c>
      <c r="H45">
        <f t="shared" si="7"/>
        <v>0.51707317073170733</v>
      </c>
    </row>
    <row r="46" spans="1:8" x14ac:dyDescent="0.25">
      <c r="A46">
        <f t="shared" si="0"/>
        <v>10700000</v>
      </c>
      <c r="B46">
        <f t="shared" si="1"/>
        <v>10800000</v>
      </c>
      <c r="C46">
        <f t="shared" si="2"/>
        <v>10600000</v>
      </c>
      <c r="D46">
        <f t="shared" si="3"/>
        <v>21600000</v>
      </c>
      <c r="E46">
        <f t="shared" si="4"/>
        <v>21200000</v>
      </c>
      <c r="F46">
        <f t="shared" si="6"/>
        <v>43</v>
      </c>
      <c r="G46">
        <f t="shared" si="5"/>
        <v>0.50232558139534877</v>
      </c>
      <c r="H46">
        <f t="shared" si="7"/>
        <v>0.50476190476190474</v>
      </c>
    </row>
    <row r="47" spans="1:8" x14ac:dyDescent="0.25">
      <c r="A47">
        <f t="shared" si="0"/>
        <v>10700000</v>
      </c>
      <c r="B47">
        <f t="shared" si="1"/>
        <v>10800000</v>
      </c>
      <c r="C47">
        <f t="shared" si="2"/>
        <v>10600000</v>
      </c>
      <c r="D47">
        <f t="shared" si="3"/>
        <v>21600000</v>
      </c>
      <c r="E47">
        <f t="shared" si="4"/>
        <v>21200000</v>
      </c>
      <c r="F47">
        <f t="shared" si="6"/>
        <v>44</v>
      </c>
      <c r="G47">
        <f t="shared" si="5"/>
        <v>0.49090909090909091</v>
      </c>
      <c r="H47">
        <f t="shared" si="7"/>
        <v>0.49302325581395345</v>
      </c>
    </row>
    <row r="48" spans="1:8" x14ac:dyDescent="0.25">
      <c r="A48">
        <f t="shared" si="0"/>
        <v>10700000</v>
      </c>
      <c r="B48">
        <f t="shared" si="1"/>
        <v>10800000</v>
      </c>
      <c r="C48">
        <f t="shared" si="2"/>
        <v>10600000</v>
      </c>
      <c r="D48">
        <f t="shared" si="3"/>
        <v>21600000</v>
      </c>
      <c r="E48">
        <f t="shared" si="4"/>
        <v>21200000</v>
      </c>
      <c r="F48">
        <f t="shared" si="6"/>
        <v>45</v>
      </c>
      <c r="G48">
        <f t="shared" si="5"/>
        <v>0.48</v>
      </c>
      <c r="H48">
        <f t="shared" si="7"/>
        <v>0.48181818181818181</v>
      </c>
    </row>
    <row r="49" spans="1:8" x14ac:dyDescent="0.25">
      <c r="A49">
        <f t="shared" si="0"/>
        <v>10700000</v>
      </c>
      <c r="B49">
        <f t="shared" si="1"/>
        <v>10800000</v>
      </c>
      <c r="C49">
        <f t="shared" si="2"/>
        <v>10600000</v>
      </c>
      <c r="D49">
        <f t="shared" si="3"/>
        <v>21600000</v>
      </c>
      <c r="E49">
        <f t="shared" si="4"/>
        <v>21200000</v>
      </c>
      <c r="F49">
        <f t="shared" si="6"/>
        <v>46</v>
      </c>
      <c r="G49">
        <f t="shared" si="5"/>
        <v>0.4695652173913043</v>
      </c>
      <c r="H49">
        <f t="shared" si="7"/>
        <v>0.47111111111111115</v>
      </c>
    </row>
    <row r="50" spans="1:8" x14ac:dyDescent="0.25">
      <c r="A50">
        <f t="shared" si="0"/>
        <v>10700000</v>
      </c>
      <c r="B50">
        <f t="shared" si="1"/>
        <v>10800000</v>
      </c>
      <c r="C50">
        <f t="shared" si="2"/>
        <v>10600000</v>
      </c>
      <c r="D50">
        <f t="shared" si="3"/>
        <v>21600000</v>
      </c>
      <c r="E50">
        <f t="shared" si="4"/>
        <v>21200000</v>
      </c>
      <c r="F50">
        <f t="shared" si="6"/>
        <v>47</v>
      </c>
      <c r="G50">
        <f t="shared" si="5"/>
        <v>0.45957446808510638</v>
      </c>
      <c r="H50">
        <f t="shared" si="7"/>
        <v>0.46086956521739131</v>
      </c>
    </row>
    <row r="51" spans="1:8" x14ac:dyDescent="0.25">
      <c r="A51">
        <f t="shared" si="0"/>
        <v>10700000</v>
      </c>
      <c r="B51">
        <f t="shared" si="1"/>
        <v>10800000</v>
      </c>
      <c r="C51">
        <f t="shared" si="2"/>
        <v>10600000</v>
      </c>
      <c r="D51">
        <f t="shared" si="3"/>
        <v>21600000</v>
      </c>
      <c r="E51">
        <f t="shared" si="4"/>
        <v>21200000</v>
      </c>
      <c r="F51">
        <f t="shared" si="6"/>
        <v>48</v>
      </c>
      <c r="G51">
        <f t="shared" si="5"/>
        <v>0.45</v>
      </c>
      <c r="H51">
        <f t="shared" si="7"/>
        <v>0.45106382978723403</v>
      </c>
    </row>
    <row r="52" spans="1:8" x14ac:dyDescent="0.25">
      <c r="A52">
        <f t="shared" si="0"/>
        <v>10700000</v>
      </c>
      <c r="B52">
        <f t="shared" si="1"/>
        <v>10800000</v>
      </c>
      <c r="C52">
        <f t="shared" si="2"/>
        <v>10600000</v>
      </c>
      <c r="D52">
        <f t="shared" si="3"/>
        <v>21600000</v>
      </c>
      <c r="E52">
        <f t="shared" si="4"/>
        <v>21200000</v>
      </c>
      <c r="F52">
        <f t="shared" si="6"/>
        <v>49</v>
      </c>
      <c r="G52">
        <f t="shared" si="5"/>
        <v>0.44081632653061226</v>
      </c>
      <c r="H52">
        <f t="shared" si="7"/>
        <v>0.44166666666666671</v>
      </c>
    </row>
    <row r="53" spans="1:8" x14ac:dyDescent="0.25">
      <c r="A53">
        <f t="shared" si="0"/>
        <v>10700000</v>
      </c>
      <c r="B53">
        <f t="shared" si="1"/>
        <v>10800000</v>
      </c>
      <c r="C53">
        <f t="shared" si="2"/>
        <v>10600000</v>
      </c>
      <c r="D53">
        <f t="shared" si="3"/>
        <v>21600000</v>
      </c>
      <c r="E53">
        <f t="shared" si="4"/>
        <v>21200000</v>
      </c>
      <c r="F53">
        <f t="shared" si="6"/>
        <v>50</v>
      </c>
      <c r="G53">
        <f t="shared" si="5"/>
        <v>0.432</v>
      </c>
      <c r="H53">
        <f t="shared" si="7"/>
        <v>0.43265306122448982</v>
      </c>
    </row>
    <row r="54" spans="1:8" x14ac:dyDescent="0.25">
      <c r="A54">
        <f t="shared" si="0"/>
        <v>10700000</v>
      </c>
      <c r="B54">
        <f t="shared" si="1"/>
        <v>10800000</v>
      </c>
      <c r="C54">
        <f t="shared" si="2"/>
        <v>10600000</v>
      </c>
      <c r="D54">
        <f t="shared" si="3"/>
        <v>21600000</v>
      </c>
      <c r="E54">
        <f t="shared" si="4"/>
        <v>21200000</v>
      </c>
      <c r="F54">
        <f t="shared" si="6"/>
        <v>51</v>
      </c>
      <c r="G54">
        <f t="shared" si="5"/>
        <v>0.42352941176470588</v>
      </c>
      <c r="H54">
        <f t="shared" si="7"/>
        <v>0.42399999999999999</v>
      </c>
    </row>
    <row r="55" spans="1:8" x14ac:dyDescent="0.25">
      <c r="A55">
        <f t="shared" si="0"/>
        <v>10700000</v>
      </c>
      <c r="B55">
        <f t="shared" si="1"/>
        <v>10800000</v>
      </c>
      <c r="C55">
        <f t="shared" si="2"/>
        <v>10600000</v>
      </c>
      <c r="D55">
        <f t="shared" si="3"/>
        <v>21600000</v>
      </c>
      <c r="E55">
        <f t="shared" si="4"/>
        <v>21200000</v>
      </c>
      <c r="F55">
        <f t="shared" si="6"/>
        <v>52</v>
      </c>
      <c r="G55">
        <f t="shared" si="5"/>
        <v>0.41538461538461535</v>
      </c>
      <c r="H55">
        <f t="shared" si="7"/>
        <v>0.41568627450980394</v>
      </c>
    </row>
    <row r="56" spans="1:8" x14ac:dyDescent="0.25">
      <c r="A56">
        <f t="shared" si="0"/>
        <v>10700000</v>
      </c>
      <c r="B56">
        <f t="shared" si="1"/>
        <v>10800000</v>
      </c>
      <c r="C56">
        <f t="shared" si="2"/>
        <v>10600000</v>
      </c>
      <c r="D56">
        <f t="shared" si="3"/>
        <v>21600000</v>
      </c>
      <c r="E56">
        <f t="shared" si="4"/>
        <v>21200000</v>
      </c>
      <c r="F56">
        <f t="shared" si="6"/>
        <v>53</v>
      </c>
      <c r="G56">
        <f t="shared" si="5"/>
        <v>0.40754716981132078</v>
      </c>
      <c r="H56">
        <f t="shared" si="7"/>
        <v>0.40769230769230769</v>
      </c>
    </row>
    <row r="57" spans="1:8" x14ac:dyDescent="0.25">
      <c r="A57">
        <f t="shared" si="0"/>
        <v>10700000</v>
      </c>
      <c r="B57">
        <f t="shared" si="1"/>
        <v>10800000</v>
      </c>
      <c r="C57">
        <f t="shared" si="2"/>
        <v>10600000</v>
      </c>
      <c r="D57">
        <f t="shared" si="3"/>
        <v>21600000</v>
      </c>
      <c r="E57">
        <f t="shared" si="4"/>
        <v>21200000</v>
      </c>
      <c r="F57">
        <f t="shared" si="6"/>
        <v>54</v>
      </c>
      <c r="G57">
        <f t="shared" si="5"/>
        <v>0.4</v>
      </c>
      <c r="H57">
        <f t="shared" si="7"/>
        <v>0.4</v>
      </c>
    </row>
    <row r="58" spans="1:8" x14ac:dyDescent="0.25">
      <c r="A58">
        <f t="shared" si="0"/>
        <v>10700000</v>
      </c>
      <c r="B58">
        <f t="shared" si="1"/>
        <v>10800000</v>
      </c>
      <c r="C58">
        <f t="shared" si="2"/>
        <v>10600000</v>
      </c>
      <c r="D58">
        <f t="shared" si="3"/>
        <v>21600000</v>
      </c>
      <c r="E58">
        <f t="shared" si="4"/>
        <v>21200000</v>
      </c>
      <c r="F58">
        <f t="shared" si="6"/>
        <v>55</v>
      </c>
      <c r="G58">
        <f t="shared" si="5"/>
        <v>0.3927272727272727</v>
      </c>
      <c r="H58">
        <f t="shared" si="7"/>
        <v>0.3925925925925926</v>
      </c>
    </row>
    <row r="59" spans="1:8" x14ac:dyDescent="0.25">
      <c r="A59">
        <f t="shared" si="0"/>
        <v>10700000</v>
      </c>
      <c r="B59">
        <f t="shared" si="1"/>
        <v>10800000</v>
      </c>
      <c r="C59">
        <f t="shared" si="2"/>
        <v>10600000</v>
      </c>
      <c r="D59">
        <f t="shared" si="3"/>
        <v>21600000</v>
      </c>
      <c r="E59">
        <f t="shared" si="4"/>
        <v>21200000</v>
      </c>
      <c r="F59">
        <f t="shared" si="6"/>
        <v>56</v>
      </c>
      <c r="G59">
        <f t="shared" si="5"/>
        <v>0.38571428571428573</v>
      </c>
      <c r="H59">
        <f t="shared" si="7"/>
        <v>0.38545454545454549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5A50-9B84-47F3-8002-5D32D43D5510}">
  <dimension ref="A3:J68"/>
  <sheetViews>
    <sheetView workbookViewId="0">
      <selection activeCell="I13" sqref="I13"/>
    </sheetView>
  </sheetViews>
  <sheetFormatPr defaultRowHeight="15" x14ac:dyDescent="0.25"/>
  <cols>
    <col min="1" max="3" width="9.85546875" bestFit="1" customWidth="1"/>
    <col min="4" max="5" width="11.28515625" bestFit="1" customWidth="1"/>
    <col min="6" max="6" width="9.28515625" bestFit="1" customWidth="1"/>
    <col min="7" max="7" width="17.42578125" customWidth="1"/>
    <col min="8" max="8" width="18.28515625" customWidth="1"/>
    <col min="9" max="9" width="14.5703125" customWidth="1"/>
  </cols>
  <sheetData>
    <row r="3" spans="1:10" ht="18.7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9</v>
      </c>
      <c r="H3" s="2" t="s">
        <v>8</v>
      </c>
      <c r="I3" s="2"/>
      <c r="J3" s="2" t="s">
        <v>6</v>
      </c>
    </row>
    <row r="4" spans="1:10" x14ac:dyDescent="0.25">
      <c r="A4">
        <f>730*1000</f>
        <v>730000</v>
      </c>
      <c r="B4">
        <f>A4+5000</f>
        <v>735000</v>
      </c>
      <c r="C4">
        <f>A4-5000</f>
        <v>725000</v>
      </c>
      <c r="D4">
        <f>2*B4</f>
        <v>1470000</v>
      </c>
      <c r="E4">
        <f>C4*2</f>
        <v>1450000</v>
      </c>
      <c r="F4">
        <v>1</v>
      </c>
      <c r="G4">
        <f>(D4/F4)/1000</f>
        <v>1470</v>
      </c>
      <c r="J4">
        <f>(B4/(B4-C4))</f>
        <v>73.5</v>
      </c>
    </row>
    <row r="5" spans="1:10" ht="18.75" x14ac:dyDescent="0.3">
      <c r="A5" s="1">
        <f t="shared" ref="A5:A68" si="0">730*1000</f>
        <v>730000</v>
      </c>
      <c r="B5" s="1">
        <f t="shared" ref="B5:B68" si="1">A5+5000</f>
        <v>735000</v>
      </c>
      <c r="C5" s="1">
        <f t="shared" ref="C5:C68" si="2">A5-5000</f>
        <v>725000</v>
      </c>
      <c r="D5" s="1">
        <f t="shared" ref="D5:D68" si="3">2*B5</f>
        <v>1470000</v>
      </c>
      <c r="E5" s="1">
        <f t="shared" ref="E5:E68" si="4">C5*2</f>
        <v>1450000</v>
      </c>
      <c r="F5" s="1">
        <f>F4+1</f>
        <v>2</v>
      </c>
      <c r="G5" s="1">
        <f t="shared" ref="G5:G68" si="5">(D5/F5)/1000</f>
        <v>735</v>
      </c>
      <c r="H5" s="1">
        <f>(E5/(F5-1))/10^3</f>
        <v>1450</v>
      </c>
    </row>
    <row r="6" spans="1:10" x14ac:dyDescent="0.25">
      <c r="A6">
        <f t="shared" si="0"/>
        <v>730000</v>
      </c>
      <c r="B6">
        <f t="shared" si="1"/>
        <v>735000</v>
      </c>
      <c r="C6">
        <f t="shared" si="2"/>
        <v>725000</v>
      </c>
      <c r="D6">
        <f t="shared" si="3"/>
        <v>1470000</v>
      </c>
      <c r="E6">
        <f t="shared" si="4"/>
        <v>1450000</v>
      </c>
      <c r="F6">
        <f t="shared" ref="F6:F68" si="6">F5+1</f>
        <v>3</v>
      </c>
      <c r="G6">
        <f t="shared" si="5"/>
        <v>490</v>
      </c>
      <c r="H6">
        <f t="shared" ref="H6:H68" si="7">(E6/(F6-1))/10^3</f>
        <v>725</v>
      </c>
    </row>
    <row r="7" spans="1:10" x14ac:dyDescent="0.25">
      <c r="A7">
        <f t="shared" si="0"/>
        <v>730000</v>
      </c>
      <c r="B7">
        <f t="shared" si="1"/>
        <v>735000</v>
      </c>
      <c r="C7">
        <f t="shared" si="2"/>
        <v>725000</v>
      </c>
      <c r="D7">
        <f t="shared" si="3"/>
        <v>1470000</v>
      </c>
      <c r="E7">
        <f t="shared" si="4"/>
        <v>1450000</v>
      </c>
      <c r="F7">
        <f t="shared" si="6"/>
        <v>4</v>
      </c>
      <c r="G7">
        <f t="shared" si="5"/>
        <v>367.5</v>
      </c>
      <c r="H7">
        <f t="shared" si="7"/>
        <v>483.33333333333331</v>
      </c>
    </row>
    <row r="8" spans="1:10" x14ac:dyDescent="0.25">
      <c r="A8">
        <f t="shared" si="0"/>
        <v>730000</v>
      </c>
      <c r="B8">
        <f t="shared" si="1"/>
        <v>735000</v>
      </c>
      <c r="C8">
        <f t="shared" si="2"/>
        <v>725000</v>
      </c>
      <c r="D8">
        <f t="shared" si="3"/>
        <v>1470000</v>
      </c>
      <c r="E8">
        <f t="shared" si="4"/>
        <v>1450000</v>
      </c>
      <c r="F8">
        <f t="shared" si="6"/>
        <v>5</v>
      </c>
      <c r="G8">
        <f t="shared" si="5"/>
        <v>294</v>
      </c>
      <c r="H8">
        <f t="shared" si="7"/>
        <v>362.5</v>
      </c>
    </row>
    <row r="9" spans="1:10" x14ac:dyDescent="0.25">
      <c r="A9">
        <f t="shared" si="0"/>
        <v>730000</v>
      </c>
      <c r="B9">
        <f t="shared" si="1"/>
        <v>735000</v>
      </c>
      <c r="C9">
        <f t="shared" si="2"/>
        <v>725000</v>
      </c>
      <c r="D9">
        <f t="shared" si="3"/>
        <v>1470000</v>
      </c>
      <c r="E9">
        <f t="shared" si="4"/>
        <v>1450000</v>
      </c>
      <c r="F9">
        <f t="shared" si="6"/>
        <v>6</v>
      </c>
      <c r="G9">
        <f t="shared" si="5"/>
        <v>245</v>
      </c>
      <c r="H9">
        <f t="shared" si="7"/>
        <v>290</v>
      </c>
    </row>
    <row r="10" spans="1:10" x14ac:dyDescent="0.25">
      <c r="A10">
        <f t="shared" si="0"/>
        <v>730000</v>
      </c>
      <c r="B10">
        <f t="shared" si="1"/>
        <v>735000</v>
      </c>
      <c r="C10">
        <f t="shared" si="2"/>
        <v>725000</v>
      </c>
      <c r="D10">
        <f t="shared" si="3"/>
        <v>1470000</v>
      </c>
      <c r="E10">
        <f t="shared" si="4"/>
        <v>1450000</v>
      </c>
      <c r="F10">
        <f t="shared" si="6"/>
        <v>7</v>
      </c>
      <c r="G10">
        <f t="shared" si="5"/>
        <v>210</v>
      </c>
      <c r="H10">
        <f t="shared" si="7"/>
        <v>241.66666666666666</v>
      </c>
    </row>
    <row r="11" spans="1:10" ht="18.75" x14ac:dyDescent="0.3">
      <c r="A11" s="1">
        <f t="shared" si="0"/>
        <v>730000</v>
      </c>
      <c r="B11" s="1">
        <f t="shared" si="1"/>
        <v>735000</v>
      </c>
      <c r="C11" s="1">
        <f t="shared" si="2"/>
        <v>725000</v>
      </c>
      <c r="D11" s="1">
        <f t="shared" si="3"/>
        <v>1470000</v>
      </c>
      <c r="E11" s="1">
        <f t="shared" si="4"/>
        <v>1450000</v>
      </c>
      <c r="F11" s="1">
        <f t="shared" si="6"/>
        <v>8</v>
      </c>
      <c r="G11" s="1">
        <f t="shared" si="5"/>
        <v>183.75</v>
      </c>
      <c r="H11" s="1">
        <f t="shared" si="7"/>
        <v>207.14285714285714</v>
      </c>
    </row>
    <row r="12" spans="1:10" x14ac:dyDescent="0.25">
      <c r="A12">
        <f t="shared" si="0"/>
        <v>730000</v>
      </c>
      <c r="B12">
        <f t="shared" si="1"/>
        <v>735000</v>
      </c>
      <c r="C12">
        <f t="shared" si="2"/>
        <v>725000</v>
      </c>
      <c r="D12">
        <f t="shared" si="3"/>
        <v>1470000</v>
      </c>
      <c r="E12">
        <f t="shared" si="4"/>
        <v>1450000</v>
      </c>
      <c r="F12">
        <f t="shared" si="6"/>
        <v>9</v>
      </c>
      <c r="G12">
        <f t="shared" si="5"/>
        <v>163.33333333333334</v>
      </c>
      <c r="H12">
        <f t="shared" si="7"/>
        <v>181.25</v>
      </c>
    </row>
    <row r="13" spans="1:10" x14ac:dyDescent="0.25">
      <c r="A13">
        <f t="shared" si="0"/>
        <v>730000</v>
      </c>
      <c r="B13">
        <f t="shared" si="1"/>
        <v>735000</v>
      </c>
      <c r="C13">
        <f t="shared" si="2"/>
        <v>725000</v>
      </c>
      <c r="D13">
        <f t="shared" si="3"/>
        <v>1470000</v>
      </c>
      <c r="E13">
        <f t="shared" si="4"/>
        <v>1450000</v>
      </c>
      <c r="F13">
        <f t="shared" si="6"/>
        <v>10</v>
      </c>
      <c r="G13">
        <f t="shared" si="5"/>
        <v>147</v>
      </c>
      <c r="H13">
        <f t="shared" si="7"/>
        <v>161.11111111111111</v>
      </c>
    </row>
    <row r="14" spans="1:10" x14ac:dyDescent="0.25">
      <c r="A14">
        <f t="shared" si="0"/>
        <v>730000</v>
      </c>
      <c r="B14">
        <f t="shared" si="1"/>
        <v>735000</v>
      </c>
      <c r="C14">
        <f t="shared" si="2"/>
        <v>725000</v>
      </c>
      <c r="D14">
        <f t="shared" si="3"/>
        <v>1470000</v>
      </c>
      <c r="E14">
        <f t="shared" si="4"/>
        <v>1450000</v>
      </c>
      <c r="F14">
        <f t="shared" si="6"/>
        <v>11</v>
      </c>
      <c r="G14">
        <f t="shared" si="5"/>
        <v>133.63636363636365</v>
      </c>
      <c r="H14">
        <f t="shared" si="7"/>
        <v>145</v>
      </c>
    </row>
    <row r="15" spans="1:10" x14ac:dyDescent="0.25">
      <c r="A15">
        <f t="shared" si="0"/>
        <v>730000</v>
      </c>
      <c r="B15">
        <f t="shared" si="1"/>
        <v>735000</v>
      </c>
      <c r="C15">
        <f t="shared" si="2"/>
        <v>725000</v>
      </c>
      <c r="D15">
        <f t="shared" si="3"/>
        <v>1470000</v>
      </c>
      <c r="E15">
        <f t="shared" si="4"/>
        <v>1450000</v>
      </c>
      <c r="F15">
        <f t="shared" si="6"/>
        <v>12</v>
      </c>
      <c r="G15">
        <f t="shared" si="5"/>
        <v>122.5</v>
      </c>
      <c r="H15">
        <f t="shared" si="7"/>
        <v>131.81818181818181</v>
      </c>
    </row>
    <row r="16" spans="1:10" x14ac:dyDescent="0.25">
      <c r="A16">
        <f t="shared" si="0"/>
        <v>730000</v>
      </c>
      <c r="B16">
        <f t="shared" si="1"/>
        <v>735000</v>
      </c>
      <c r="C16">
        <f t="shared" si="2"/>
        <v>725000</v>
      </c>
      <c r="D16">
        <f t="shared" si="3"/>
        <v>1470000</v>
      </c>
      <c r="E16">
        <f t="shared" si="4"/>
        <v>1450000</v>
      </c>
      <c r="F16">
        <f t="shared" si="6"/>
        <v>13</v>
      </c>
      <c r="G16">
        <f t="shared" si="5"/>
        <v>113.07692307692308</v>
      </c>
      <c r="H16">
        <f t="shared" si="7"/>
        <v>120.83333333333333</v>
      </c>
    </row>
    <row r="17" spans="1:8" x14ac:dyDescent="0.25">
      <c r="A17">
        <f t="shared" si="0"/>
        <v>730000</v>
      </c>
      <c r="B17">
        <f t="shared" si="1"/>
        <v>735000</v>
      </c>
      <c r="C17">
        <f t="shared" si="2"/>
        <v>725000</v>
      </c>
      <c r="D17">
        <f t="shared" si="3"/>
        <v>1470000</v>
      </c>
      <c r="E17">
        <f t="shared" si="4"/>
        <v>1450000</v>
      </c>
      <c r="F17">
        <f t="shared" si="6"/>
        <v>14</v>
      </c>
      <c r="G17">
        <f t="shared" si="5"/>
        <v>105</v>
      </c>
      <c r="H17">
        <f t="shared" si="7"/>
        <v>111.53846153846153</v>
      </c>
    </row>
    <row r="18" spans="1:8" x14ac:dyDescent="0.25">
      <c r="A18">
        <f t="shared" si="0"/>
        <v>730000</v>
      </c>
      <c r="B18">
        <f t="shared" si="1"/>
        <v>735000</v>
      </c>
      <c r="C18">
        <f t="shared" si="2"/>
        <v>725000</v>
      </c>
      <c r="D18">
        <f t="shared" si="3"/>
        <v>1470000</v>
      </c>
      <c r="E18">
        <f t="shared" si="4"/>
        <v>1450000</v>
      </c>
      <c r="F18">
        <f t="shared" si="6"/>
        <v>15</v>
      </c>
      <c r="G18">
        <f t="shared" si="5"/>
        <v>98</v>
      </c>
      <c r="H18">
        <f t="shared" si="7"/>
        <v>103.57142857142857</v>
      </c>
    </row>
    <row r="19" spans="1:8" x14ac:dyDescent="0.25">
      <c r="A19">
        <f t="shared" si="0"/>
        <v>730000</v>
      </c>
      <c r="B19">
        <f t="shared" si="1"/>
        <v>735000</v>
      </c>
      <c r="C19">
        <f t="shared" si="2"/>
        <v>725000</v>
      </c>
      <c r="D19">
        <f t="shared" si="3"/>
        <v>1470000</v>
      </c>
      <c r="E19">
        <f t="shared" si="4"/>
        <v>1450000</v>
      </c>
      <c r="F19">
        <f t="shared" si="6"/>
        <v>16</v>
      </c>
      <c r="G19">
        <f t="shared" si="5"/>
        <v>91.875</v>
      </c>
      <c r="H19">
        <f t="shared" si="7"/>
        <v>96.666666666666671</v>
      </c>
    </row>
    <row r="20" spans="1:8" x14ac:dyDescent="0.25">
      <c r="A20">
        <f t="shared" si="0"/>
        <v>730000</v>
      </c>
      <c r="B20">
        <f t="shared" si="1"/>
        <v>735000</v>
      </c>
      <c r="C20">
        <f t="shared" si="2"/>
        <v>725000</v>
      </c>
      <c r="D20">
        <f t="shared" si="3"/>
        <v>1470000</v>
      </c>
      <c r="E20">
        <f t="shared" si="4"/>
        <v>1450000</v>
      </c>
      <c r="F20">
        <f t="shared" si="6"/>
        <v>17</v>
      </c>
      <c r="G20">
        <f t="shared" si="5"/>
        <v>86.470588235294116</v>
      </c>
      <c r="H20">
        <f t="shared" si="7"/>
        <v>90.625</v>
      </c>
    </row>
    <row r="21" spans="1:8" x14ac:dyDescent="0.25">
      <c r="A21">
        <f t="shared" si="0"/>
        <v>730000</v>
      </c>
      <c r="B21">
        <f t="shared" si="1"/>
        <v>735000</v>
      </c>
      <c r="C21">
        <f t="shared" si="2"/>
        <v>725000</v>
      </c>
      <c r="D21">
        <f t="shared" si="3"/>
        <v>1470000</v>
      </c>
      <c r="E21">
        <f t="shared" si="4"/>
        <v>1450000</v>
      </c>
      <c r="F21">
        <f t="shared" si="6"/>
        <v>18</v>
      </c>
      <c r="G21">
        <f t="shared" si="5"/>
        <v>81.666666666666671</v>
      </c>
      <c r="H21">
        <f t="shared" si="7"/>
        <v>85.294117647058826</v>
      </c>
    </row>
    <row r="22" spans="1:8" x14ac:dyDescent="0.25">
      <c r="A22">
        <f t="shared" si="0"/>
        <v>730000</v>
      </c>
      <c r="B22">
        <f t="shared" si="1"/>
        <v>735000</v>
      </c>
      <c r="C22">
        <f t="shared" si="2"/>
        <v>725000</v>
      </c>
      <c r="D22">
        <f t="shared" si="3"/>
        <v>1470000</v>
      </c>
      <c r="E22">
        <f t="shared" si="4"/>
        <v>1450000</v>
      </c>
      <c r="F22">
        <f t="shared" si="6"/>
        <v>19</v>
      </c>
      <c r="G22">
        <f t="shared" si="5"/>
        <v>77.368421052631575</v>
      </c>
      <c r="H22">
        <f t="shared" si="7"/>
        <v>80.555555555555557</v>
      </c>
    </row>
    <row r="23" spans="1:8" x14ac:dyDescent="0.25">
      <c r="A23">
        <f t="shared" si="0"/>
        <v>730000</v>
      </c>
      <c r="B23">
        <f t="shared" si="1"/>
        <v>735000</v>
      </c>
      <c r="C23">
        <f t="shared" si="2"/>
        <v>725000</v>
      </c>
      <c r="D23">
        <f t="shared" si="3"/>
        <v>1470000</v>
      </c>
      <c r="E23">
        <f t="shared" si="4"/>
        <v>1450000</v>
      </c>
      <c r="F23">
        <f t="shared" si="6"/>
        <v>20</v>
      </c>
      <c r="G23">
        <f t="shared" si="5"/>
        <v>73.5</v>
      </c>
      <c r="H23">
        <f t="shared" si="7"/>
        <v>76.31578947368422</v>
      </c>
    </row>
    <row r="24" spans="1:8" x14ac:dyDescent="0.25">
      <c r="A24">
        <f t="shared" si="0"/>
        <v>730000</v>
      </c>
      <c r="B24">
        <f t="shared" si="1"/>
        <v>735000</v>
      </c>
      <c r="C24">
        <f t="shared" si="2"/>
        <v>725000</v>
      </c>
      <c r="D24">
        <f t="shared" si="3"/>
        <v>1470000</v>
      </c>
      <c r="E24">
        <f t="shared" si="4"/>
        <v>1450000</v>
      </c>
      <c r="F24">
        <f t="shared" si="6"/>
        <v>21</v>
      </c>
      <c r="G24">
        <f t="shared" si="5"/>
        <v>70</v>
      </c>
      <c r="H24">
        <f t="shared" si="7"/>
        <v>72.5</v>
      </c>
    </row>
    <row r="25" spans="1:8" x14ac:dyDescent="0.25">
      <c r="A25">
        <f t="shared" si="0"/>
        <v>730000</v>
      </c>
      <c r="B25">
        <f t="shared" si="1"/>
        <v>735000</v>
      </c>
      <c r="C25">
        <f t="shared" si="2"/>
        <v>725000</v>
      </c>
      <c r="D25">
        <f t="shared" si="3"/>
        <v>1470000</v>
      </c>
      <c r="E25">
        <f t="shared" si="4"/>
        <v>1450000</v>
      </c>
      <c r="F25">
        <f t="shared" si="6"/>
        <v>22</v>
      </c>
      <c r="G25">
        <f t="shared" si="5"/>
        <v>66.818181818181827</v>
      </c>
      <c r="H25">
        <f t="shared" si="7"/>
        <v>69.047619047619051</v>
      </c>
    </row>
    <row r="26" spans="1:8" x14ac:dyDescent="0.25">
      <c r="A26">
        <f t="shared" si="0"/>
        <v>730000</v>
      </c>
      <c r="B26">
        <f t="shared" si="1"/>
        <v>735000</v>
      </c>
      <c r="C26">
        <f t="shared" si="2"/>
        <v>725000</v>
      </c>
      <c r="D26">
        <f t="shared" si="3"/>
        <v>1470000</v>
      </c>
      <c r="E26">
        <f t="shared" si="4"/>
        <v>1450000</v>
      </c>
      <c r="F26">
        <f t="shared" si="6"/>
        <v>23</v>
      </c>
      <c r="G26">
        <f t="shared" si="5"/>
        <v>63.913043478260875</v>
      </c>
      <c r="H26">
        <f t="shared" si="7"/>
        <v>65.909090909090907</v>
      </c>
    </row>
    <row r="27" spans="1:8" x14ac:dyDescent="0.25">
      <c r="A27">
        <f t="shared" si="0"/>
        <v>730000</v>
      </c>
      <c r="B27">
        <f t="shared" si="1"/>
        <v>735000</v>
      </c>
      <c r="C27">
        <f t="shared" si="2"/>
        <v>725000</v>
      </c>
      <c r="D27">
        <f t="shared" si="3"/>
        <v>1470000</v>
      </c>
      <c r="E27">
        <f t="shared" si="4"/>
        <v>1450000</v>
      </c>
      <c r="F27">
        <f t="shared" si="6"/>
        <v>24</v>
      </c>
      <c r="G27">
        <f t="shared" si="5"/>
        <v>61.25</v>
      </c>
      <c r="H27">
        <f t="shared" si="7"/>
        <v>63.04347826086957</v>
      </c>
    </row>
    <row r="28" spans="1:8" x14ac:dyDescent="0.25">
      <c r="A28">
        <f t="shared" si="0"/>
        <v>730000</v>
      </c>
      <c r="B28">
        <f t="shared" si="1"/>
        <v>735000</v>
      </c>
      <c r="C28">
        <f t="shared" si="2"/>
        <v>725000</v>
      </c>
      <c r="D28">
        <f t="shared" si="3"/>
        <v>1470000</v>
      </c>
      <c r="E28">
        <f t="shared" si="4"/>
        <v>1450000</v>
      </c>
      <c r="F28">
        <f t="shared" si="6"/>
        <v>25</v>
      </c>
      <c r="G28">
        <f t="shared" si="5"/>
        <v>58.8</v>
      </c>
      <c r="H28">
        <f t="shared" si="7"/>
        <v>60.416666666666664</v>
      </c>
    </row>
    <row r="29" spans="1:8" x14ac:dyDescent="0.25">
      <c r="A29">
        <f t="shared" si="0"/>
        <v>730000</v>
      </c>
      <c r="B29">
        <f t="shared" si="1"/>
        <v>735000</v>
      </c>
      <c r="C29">
        <f t="shared" si="2"/>
        <v>725000</v>
      </c>
      <c r="D29">
        <f t="shared" si="3"/>
        <v>1470000</v>
      </c>
      <c r="E29">
        <f t="shared" si="4"/>
        <v>1450000</v>
      </c>
      <c r="F29">
        <f t="shared" si="6"/>
        <v>26</v>
      </c>
      <c r="G29">
        <f t="shared" si="5"/>
        <v>56.53846153846154</v>
      </c>
      <c r="H29">
        <f t="shared" si="7"/>
        <v>58</v>
      </c>
    </row>
    <row r="30" spans="1:8" x14ac:dyDescent="0.25">
      <c r="A30">
        <f t="shared" si="0"/>
        <v>730000</v>
      </c>
      <c r="B30">
        <f t="shared" si="1"/>
        <v>735000</v>
      </c>
      <c r="C30">
        <f t="shared" si="2"/>
        <v>725000</v>
      </c>
      <c r="D30">
        <f t="shared" si="3"/>
        <v>1470000</v>
      </c>
      <c r="E30">
        <f t="shared" si="4"/>
        <v>1450000</v>
      </c>
      <c r="F30">
        <f t="shared" si="6"/>
        <v>27</v>
      </c>
      <c r="G30">
        <f t="shared" si="5"/>
        <v>54.444444444444443</v>
      </c>
      <c r="H30">
        <f t="shared" si="7"/>
        <v>55.769230769230766</v>
      </c>
    </row>
    <row r="31" spans="1:8" x14ac:dyDescent="0.25">
      <c r="A31">
        <f t="shared" si="0"/>
        <v>730000</v>
      </c>
      <c r="B31">
        <f t="shared" si="1"/>
        <v>735000</v>
      </c>
      <c r="C31">
        <f t="shared" si="2"/>
        <v>725000</v>
      </c>
      <c r="D31">
        <f t="shared" si="3"/>
        <v>1470000</v>
      </c>
      <c r="E31">
        <f t="shared" si="4"/>
        <v>1450000</v>
      </c>
      <c r="F31">
        <f t="shared" si="6"/>
        <v>28</v>
      </c>
      <c r="G31">
        <f t="shared" si="5"/>
        <v>52.5</v>
      </c>
      <c r="H31">
        <f t="shared" si="7"/>
        <v>53.703703703703702</v>
      </c>
    </row>
    <row r="32" spans="1:8" x14ac:dyDescent="0.25">
      <c r="A32">
        <f t="shared" si="0"/>
        <v>730000</v>
      </c>
      <c r="B32">
        <f t="shared" si="1"/>
        <v>735000</v>
      </c>
      <c r="C32">
        <f t="shared" si="2"/>
        <v>725000</v>
      </c>
      <c r="D32">
        <f t="shared" si="3"/>
        <v>1470000</v>
      </c>
      <c r="E32">
        <f t="shared" si="4"/>
        <v>1450000</v>
      </c>
      <c r="F32">
        <f t="shared" si="6"/>
        <v>29</v>
      </c>
      <c r="G32">
        <f t="shared" si="5"/>
        <v>50.689655172413786</v>
      </c>
      <c r="H32">
        <f t="shared" si="7"/>
        <v>51.785714285714285</v>
      </c>
    </row>
    <row r="33" spans="1:8" x14ac:dyDescent="0.25">
      <c r="A33">
        <f t="shared" si="0"/>
        <v>730000</v>
      </c>
      <c r="B33">
        <f t="shared" si="1"/>
        <v>735000</v>
      </c>
      <c r="C33">
        <f t="shared" si="2"/>
        <v>725000</v>
      </c>
      <c r="D33">
        <f t="shared" si="3"/>
        <v>1470000</v>
      </c>
      <c r="E33">
        <f t="shared" si="4"/>
        <v>1450000</v>
      </c>
      <c r="F33">
        <f t="shared" si="6"/>
        <v>30</v>
      </c>
      <c r="G33">
        <f t="shared" si="5"/>
        <v>49</v>
      </c>
      <c r="H33">
        <f t="shared" si="7"/>
        <v>50</v>
      </c>
    </row>
    <row r="34" spans="1:8" x14ac:dyDescent="0.25">
      <c r="A34">
        <f t="shared" si="0"/>
        <v>730000</v>
      </c>
      <c r="B34">
        <f t="shared" si="1"/>
        <v>735000</v>
      </c>
      <c r="C34">
        <f t="shared" si="2"/>
        <v>725000</v>
      </c>
      <c r="D34">
        <f t="shared" si="3"/>
        <v>1470000</v>
      </c>
      <c r="E34">
        <f t="shared" si="4"/>
        <v>1450000</v>
      </c>
      <c r="F34">
        <f t="shared" si="6"/>
        <v>31</v>
      </c>
      <c r="G34">
        <f t="shared" si="5"/>
        <v>47.419354838709673</v>
      </c>
      <c r="H34">
        <f t="shared" si="7"/>
        <v>48.333333333333336</v>
      </c>
    </row>
    <row r="35" spans="1:8" x14ac:dyDescent="0.25">
      <c r="A35">
        <f t="shared" si="0"/>
        <v>730000</v>
      </c>
      <c r="B35">
        <f t="shared" si="1"/>
        <v>735000</v>
      </c>
      <c r="C35">
        <f t="shared" si="2"/>
        <v>725000</v>
      </c>
      <c r="D35">
        <f t="shared" si="3"/>
        <v>1470000</v>
      </c>
      <c r="E35">
        <f t="shared" si="4"/>
        <v>1450000</v>
      </c>
      <c r="F35">
        <f t="shared" si="6"/>
        <v>32</v>
      </c>
      <c r="G35">
        <f t="shared" si="5"/>
        <v>45.9375</v>
      </c>
      <c r="H35">
        <f t="shared" si="7"/>
        <v>46.774193548387096</v>
      </c>
    </row>
    <row r="36" spans="1:8" x14ac:dyDescent="0.25">
      <c r="A36">
        <f t="shared" si="0"/>
        <v>730000</v>
      </c>
      <c r="B36">
        <f t="shared" si="1"/>
        <v>735000</v>
      </c>
      <c r="C36">
        <f t="shared" si="2"/>
        <v>725000</v>
      </c>
      <c r="D36">
        <f t="shared" si="3"/>
        <v>1470000</v>
      </c>
      <c r="E36">
        <f t="shared" si="4"/>
        <v>1450000</v>
      </c>
      <c r="F36">
        <f t="shared" si="6"/>
        <v>33</v>
      </c>
      <c r="G36">
        <f t="shared" si="5"/>
        <v>44.545454545454547</v>
      </c>
      <c r="H36">
        <f t="shared" si="7"/>
        <v>45.3125</v>
      </c>
    </row>
    <row r="37" spans="1:8" x14ac:dyDescent="0.25">
      <c r="A37">
        <f t="shared" si="0"/>
        <v>730000</v>
      </c>
      <c r="B37">
        <f t="shared" si="1"/>
        <v>735000</v>
      </c>
      <c r="C37">
        <f t="shared" si="2"/>
        <v>725000</v>
      </c>
      <c r="D37">
        <f t="shared" si="3"/>
        <v>1470000</v>
      </c>
      <c r="E37">
        <f t="shared" si="4"/>
        <v>1450000</v>
      </c>
      <c r="F37">
        <f t="shared" si="6"/>
        <v>34</v>
      </c>
      <c r="G37">
        <f t="shared" si="5"/>
        <v>43.235294117647058</v>
      </c>
      <c r="H37">
        <f t="shared" si="7"/>
        <v>43.939393939393938</v>
      </c>
    </row>
    <row r="38" spans="1:8" x14ac:dyDescent="0.25">
      <c r="A38">
        <f t="shared" si="0"/>
        <v>730000</v>
      </c>
      <c r="B38">
        <f t="shared" si="1"/>
        <v>735000</v>
      </c>
      <c r="C38">
        <f t="shared" si="2"/>
        <v>725000</v>
      </c>
      <c r="D38">
        <f t="shared" si="3"/>
        <v>1470000</v>
      </c>
      <c r="E38">
        <f t="shared" si="4"/>
        <v>1450000</v>
      </c>
      <c r="F38">
        <f t="shared" si="6"/>
        <v>35</v>
      </c>
      <c r="G38">
        <f t="shared" si="5"/>
        <v>42</v>
      </c>
      <c r="H38">
        <f t="shared" si="7"/>
        <v>42.647058823529413</v>
      </c>
    </row>
    <row r="39" spans="1:8" x14ac:dyDescent="0.25">
      <c r="A39">
        <f t="shared" si="0"/>
        <v>730000</v>
      </c>
      <c r="B39">
        <f t="shared" si="1"/>
        <v>735000</v>
      </c>
      <c r="C39">
        <f t="shared" si="2"/>
        <v>725000</v>
      </c>
      <c r="D39">
        <f t="shared" si="3"/>
        <v>1470000</v>
      </c>
      <c r="E39">
        <f t="shared" si="4"/>
        <v>1450000</v>
      </c>
      <c r="F39">
        <f t="shared" si="6"/>
        <v>36</v>
      </c>
      <c r="G39">
        <f t="shared" si="5"/>
        <v>40.833333333333336</v>
      </c>
      <c r="H39">
        <f t="shared" si="7"/>
        <v>41.428571428571431</v>
      </c>
    </row>
    <row r="40" spans="1:8" x14ac:dyDescent="0.25">
      <c r="A40">
        <f t="shared" si="0"/>
        <v>730000</v>
      </c>
      <c r="B40">
        <f t="shared" si="1"/>
        <v>735000</v>
      </c>
      <c r="C40">
        <f t="shared" si="2"/>
        <v>725000</v>
      </c>
      <c r="D40">
        <f t="shared" si="3"/>
        <v>1470000</v>
      </c>
      <c r="E40">
        <f t="shared" si="4"/>
        <v>1450000</v>
      </c>
      <c r="F40">
        <f t="shared" si="6"/>
        <v>37</v>
      </c>
      <c r="G40">
        <f t="shared" si="5"/>
        <v>39.729729729729726</v>
      </c>
      <c r="H40">
        <f t="shared" si="7"/>
        <v>40.277777777777779</v>
      </c>
    </row>
    <row r="41" spans="1:8" x14ac:dyDescent="0.25">
      <c r="A41">
        <f t="shared" si="0"/>
        <v>730000</v>
      </c>
      <c r="B41">
        <f t="shared" si="1"/>
        <v>735000</v>
      </c>
      <c r="C41">
        <f t="shared" si="2"/>
        <v>725000</v>
      </c>
      <c r="D41">
        <f t="shared" si="3"/>
        <v>1470000</v>
      </c>
      <c r="E41">
        <f t="shared" si="4"/>
        <v>1450000</v>
      </c>
      <c r="F41">
        <f t="shared" si="6"/>
        <v>38</v>
      </c>
      <c r="G41">
        <f t="shared" si="5"/>
        <v>38.684210526315788</v>
      </c>
      <c r="H41">
        <f t="shared" si="7"/>
        <v>39.189189189189186</v>
      </c>
    </row>
    <row r="42" spans="1:8" x14ac:dyDescent="0.25">
      <c r="A42">
        <f t="shared" si="0"/>
        <v>730000</v>
      </c>
      <c r="B42">
        <f t="shared" si="1"/>
        <v>735000</v>
      </c>
      <c r="C42">
        <f t="shared" si="2"/>
        <v>725000</v>
      </c>
      <c r="D42">
        <f t="shared" si="3"/>
        <v>1470000</v>
      </c>
      <c r="E42">
        <f t="shared" si="4"/>
        <v>1450000</v>
      </c>
      <c r="F42">
        <f t="shared" si="6"/>
        <v>39</v>
      </c>
      <c r="G42">
        <f t="shared" si="5"/>
        <v>37.692307692307693</v>
      </c>
      <c r="H42">
        <f t="shared" si="7"/>
        <v>38.15789473684211</v>
      </c>
    </row>
    <row r="43" spans="1:8" x14ac:dyDescent="0.25">
      <c r="A43">
        <f t="shared" si="0"/>
        <v>730000</v>
      </c>
      <c r="B43">
        <f t="shared" si="1"/>
        <v>735000</v>
      </c>
      <c r="C43">
        <f t="shared" si="2"/>
        <v>725000</v>
      </c>
      <c r="D43">
        <f t="shared" si="3"/>
        <v>1470000</v>
      </c>
      <c r="E43">
        <f t="shared" si="4"/>
        <v>1450000</v>
      </c>
      <c r="F43">
        <f t="shared" si="6"/>
        <v>40</v>
      </c>
      <c r="G43">
        <f t="shared" si="5"/>
        <v>36.75</v>
      </c>
      <c r="H43">
        <f t="shared" si="7"/>
        <v>37.179487179487182</v>
      </c>
    </row>
    <row r="44" spans="1:8" x14ac:dyDescent="0.25">
      <c r="A44">
        <f t="shared" si="0"/>
        <v>730000</v>
      </c>
      <c r="B44">
        <f t="shared" si="1"/>
        <v>735000</v>
      </c>
      <c r="C44">
        <f t="shared" si="2"/>
        <v>725000</v>
      </c>
      <c r="D44">
        <f t="shared" si="3"/>
        <v>1470000</v>
      </c>
      <c r="E44">
        <f t="shared" si="4"/>
        <v>1450000</v>
      </c>
      <c r="F44">
        <f t="shared" si="6"/>
        <v>41</v>
      </c>
      <c r="G44">
        <f t="shared" si="5"/>
        <v>35.853658536585371</v>
      </c>
      <c r="H44">
        <f t="shared" si="7"/>
        <v>36.25</v>
      </c>
    </row>
    <row r="45" spans="1:8" x14ac:dyDescent="0.25">
      <c r="A45">
        <f t="shared" si="0"/>
        <v>730000</v>
      </c>
      <c r="B45">
        <f t="shared" si="1"/>
        <v>735000</v>
      </c>
      <c r="C45">
        <f t="shared" si="2"/>
        <v>725000</v>
      </c>
      <c r="D45">
        <f t="shared" si="3"/>
        <v>1470000</v>
      </c>
      <c r="E45">
        <f t="shared" si="4"/>
        <v>1450000</v>
      </c>
      <c r="F45">
        <f t="shared" si="6"/>
        <v>42</v>
      </c>
      <c r="G45">
        <f t="shared" si="5"/>
        <v>35</v>
      </c>
      <c r="H45">
        <f t="shared" si="7"/>
        <v>35.365853658536587</v>
      </c>
    </row>
    <row r="46" spans="1:8" x14ac:dyDescent="0.25">
      <c r="A46">
        <f t="shared" si="0"/>
        <v>730000</v>
      </c>
      <c r="B46">
        <f t="shared" si="1"/>
        <v>735000</v>
      </c>
      <c r="C46">
        <f t="shared" si="2"/>
        <v>725000</v>
      </c>
      <c r="D46">
        <f t="shared" si="3"/>
        <v>1470000</v>
      </c>
      <c r="E46">
        <f t="shared" si="4"/>
        <v>1450000</v>
      </c>
      <c r="F46">
        <f t="shared" si="6"/>
        <v>43</v>
      </c>
      <c r="G46">
        <f t="shared" si="5"/>
        <v>34.186046511627907</v>
      </c>
      <c r="H46">
        <f t="shared" si="7"/>
        <v>34.523809523809526</v>
      </c>
    </row>
    <row r="47" spans="1:8" x14ac:dyDescent="0.25">
      <c r="A47">
        <f t="shared" si="0"/>
        <v>730000</v>
      </c>
      <c r="B47">
        <f t="shared" si="1"/>
        <v>735000</v>
      </c>
      <c r="C47">
        <f t="shared" si="2"/>
        <v>725000</v>
      </c>
      <c r="D47">
        <f t="shared" si="3"/>
        <v>1470000</v>
      </c>
      <c r="E47">
        <f t="shared" si="4"/>
        <v>1450000</v>
      </c>
      <c r="F47">
        <f t="shared" si="6"/>
        <v>44</v>
      </c>
      <c r="G47">
        <f t="shared" si="5"/>
        <v>33.409090909090914</v>
      </c>
      <c r="H47">
        <f t="shared" si="7"/>
        <v>33.720930232558139</v>
      </c>
    </row>
    <row r="48" spans="1:8" x14ac:dyDescent="0.25">
      <c r="A48">
        <f t="shared" si="0"/>
        <v>730000</v>
      </c>
      <c r="B48">
        <f t="shared" si="1"/>
        <v>735000</v>
      </c>
      <c r="C48">
        <f t="shared" si="2"/>
        <v>725000</v>
      </c>
      <c r="D48">
        <f t="shared" si="3"/>
        <v>1470000</v>
      </c>
      <c r="E48">
        <f t="shared" si="4"/>
        <v>1450000</v>
      </c>
      <c r="F48">
        <f t="shared" si="6"/>
        <v>45</v>
      </c>
      <c r="G48">
        <f t="shared" si="5"/>
        <v>32.666666666666671</v>
      </c>
      <c r="H48">
        <f t="shared" si="7"/>
        <v>32.954545454545453</v>
      </c>
    </row>
    <row r="49" spans="1:8" x14ac:dyDescent="0.25">
      <c r="A49">
        <f t="shared" si="0"/>
        <v>730000</v>
      </c>
      <c r="B49">
        <f t="shared" si="1"/>
        <v>735000</v>
      </c>
      <c r="C49">
        <f t="shared" si="2"/>
        <v>725000</v>
      </c>
      <c r="D49">
        <f t="shared" si="3"/>
        <v>1470000</v>
      </c>
      <c r="E49">
        <f t="shared" si="4"/>
        <v>1450000</v>
      </c>
      <c r="F49">
        <f t="shared" si="6"/>
        <v>46</v>
      </c>
      <c r="G49">
        <f t="shared" si="5"/>
        <v>31.956521739130437</v>
      </c>
      <c r="H49">
        <f t="shared" si="7"/>
        <v>32.222222222222221</v>
      </c>
    </row>
    <row r="50" spans="1:8" x14ac:dyDescent="0.25">
      <c r="A50">
        <f t="shared" si="0"/>
        <v>730000</v>
      </c>
      <c r="B50">
        <f t="shared" si="1"/>
        <v>735000</v>
      </c>
      <c r="C50">
        <f t="shared" si="2"/>
        <v>725000</v>
      </c>
      <c r="D50">
        <f t="shared" si="3"/>
        <v>1470000</v>
      </c>
      <c r="E50">
        <f t="shared" si="4"/>
        <v>1450000</v>
      </c>
      <c r="F50">
        <f t="shared" si="6"/>
        <v>47</v>
      </c>
      <c r="G50">
        <f t="shared" si="5"/>
        <v>31.276595744680851</v>
      </c>
      <c r="H50">
        <f t="shared" si="7"/>
        <v>31.521739130434785</v>
      </c>
    </row>
    <row r="51" spans="1:8" x14ac:dyDescent="0.25">
      <c r="A51">
        <f t="shared" si="0"/>
        <v>730000</v>
      </c>
      <c r="B51">
        <f t="shared" si="1"/>
        <v>735000</v>
      </c>
      <c r="C51">
        <f t="shared" si="2"/>
        <v>725000</v>
      </c>
      <c r="D51">
        <f t="shared" si="3"/>
        <v>1470000</v>
      </c>
      <c r="E51">
        <f t="shared" si="4"/>
        <v>1450000</v>
      </c>
      <c r="F51">
        <f t="shared" si="6"/>
        <v>48</v>
      </c>
      <c r="G51">
        <f t="shared" si="5"/>
        <v>30.625</v>
      </c>
      <c r="H51">
        <f t="shared" si="7"/>
        <v>30.851063829787236</v>
      </c>
    </row>
    <row r="52" spans="1:8" x14ac:dyDescent="0.25">
      <c r="A52">
        <f t="shared" si="0"/>
        <v>730000</v>
      </c>
      <c r="B52">
        <f t="shared" si="1"/>
        <v>735000</v>
      </c>
      <c r="C52">
        <f t="shared" si="2"/>
        <v>725000</v>
      </c>
      <c r="D52">
        <f t="shared" si="3"/>
        <v>1470000</v>
      </c>
      <c r="E52">
        <f t="shared" si="4"/>
        <v>1450000</v>
      </c>
      <c r="F52">
        <f t="shared" si="6"/>
        <v>49</v>
      </c>
      <c r="G52">
        <f t="shared" si="5"/>
        <v>30</v>
      </c>
      <c r="H52">
        <f t="shared" si="7"/>
        <v>30.208333333333332</v>
      </c>
    </row>
    <row r="53" spans="1:8" x14ac:dyDescent="0.25">
      <c r="A53">
        <f t="shared" si="0"/>
        <v>730000</v>
      </c>
      <c r="B53">
        <f t="shared" si="1"/>
        <v>735000</v>
      </c>
      <c r="C53">
        <f t="shared" si="2"/>
        <v>725000</v>
      </c>
      <c r="D53">
        <f t="shared" si="3"/>
        <v>1470000</v>
      </c>
      <c r="E53">
        <f t="shared" si="4"/>
        <v>1450000</v>
      </c>
      <c r="F53">
        <f t="shared" si="6"/>
        <v>50</v>
      </c>
      <c r="G53">
        <f t="shared" si="5"/>
        <v>29.4</v>
      </c>
      <c r="H53">
        <f t="shared" si="7"/>
        <v>29.591836734693874</v>
      </c>
    </row>
    <row r="54" spans="1:8" x14ac:dyDescent="0.25">
      <c r="A54">
        <f t="shared" si="0"/>
        <v>730000</v>
      </c>
      <c r="B54">
        <f t="shared" si="1"/>
        <v>735000</v>
      </c>
      <c r="C54">
        <f t="shared" si="2"/>
        <v>725000</v>
      </c>
      <c r="D54">
        <f t="shared" si="3"/>
        <v>1470000</v>
      </c>
      <c r="E54">
        <f t="shared" si="4"/>
        <v>1450000</v>
      </c>
      <c r="F54">
        <f t="shared" si="6"/>
        <v>51</v>
      </c>
      <c r="G54">
        <f t="shared" si="5"/>
        <v>28.823529411764707</v>
      </c>
      <c r="H54">
        <f t="shared" si="7"/>
        <v>29</v>
      </c>
    </row>
    <row r="55" spans="1:8" x14ac:dyDescent="0.25">
      <c r="A55">
        <f t="shared" si="0"/>
        <v>730000</v>
      </c>
      <c r="B55">
        <f t="shared" si="1"/>
        <v>735000</v>
      </c>
      <c r="C55">
        <f t="shared" si="2"/>
        <v>725000</v>
      </c>
      <c r="D55">
        <f t="shared" si="3"/>
        <v>1470000</v>
      </c>
      <c r="E55">
        <f t="shared" si="4"/>
        <v>1450000</v>
      </c>
      <c r="F55">
        <f t="shared" si="6"/>
        <v>52</v>
      </c>
      <c r="G55">
        <f t="shared" si="5"/>
        <v>28.26923076923077</v>
      </c>
      <c r="H55">
        <f t="shared" si="7"/>
        <v>28.43137254901961</v>
      </c>
    </row>
    <row r="56" spans="1:8" x14ac:dyDescent="0.25">
      <c r="A56">
        <f t="shared" si="0"/>
        <v>730000</v>
      </c>
      <c r="B56">
        <f t="shared" si="1"/>
        <v>735000</v>
      </c>
      <c r="C56">
        <f t="shared" si="2"/>
        <v>725000</v>
      </c>
      <c r="D56">
        <f t="shared" si="3"/>
        <v>1470000</v>
      </c>
      <c r="E56">
        <f t="shared" si="4"/>
        <v>1450000</v>
      </c>
      <c r="F56">
        <f t="shared" si="6"/>
        <v>53</v>
      </c>
      <c r="G56">
        <f t="shared" si="5"/>
        <v>27.735849056603772</v>
      </c>
      <c r="H56">
        <f t="shared" si="7"/>
        <v>27.884615384615383</v>
      </c>
    </row>
    <row r="57" spans="1:8" x14ac:dyDescent="0.25">
      <c r="A57">
        <f t="shared" si="0"/>
        <v>730000</v>
      </c>
      <c r="B57">
        <f t="shared" si="1"/>
        <v>735000</v>
      </c>
      <c r="C57">
        <f t="shared" si="2"/>
        <v>725000</v>
      </c>
      <c r="D57">
        <f t="shared" si="3"/>
        <v>1470000</v>
      </c>
      <c r="E57">
        <f t="shared" si="4"/>
        <v>1450000</v>
      </c>
      <c r="F57">
        <f t="shared" si="6"/>
        <v>54</v>
      </c>
      <c r="G57">
        <f t="shared" si="5"/>
        <v>27.222222222222221</v>
      </c>
      <c r="H57">
        <f t="shared" si="7"/>
        <v>27.358490566037737</v>
      </c>
    </row>
    <row r="58" spans="1:8" x14ac:dyDescent="0.25">
      <c r="A58">
        <f t="shared" si="0"/>
        <v>730000</v>
      </c>
      <c r="B58">
        <f t="shared" si="1"/>
        <v>735000</v>
      </c>
      <c r="C58">
        <f t="shared" si="2"/>
        <v>725000</v>
      </c>
      <c r="D58">
        <f t="shared" si="3"/>
        <v>1470000</v>
      </c>
      <c r="E58">
        <f t="shared" si="4"/>
        <v>1450000</v>
      </c>
      <c r="F58">
        <f t="shared" si="6"/>
        <v>55</v>
      </c>
      <c r="G58">
        <f t="shared" si="5"/>
        <v>26.727272727272727</v>
      </c>
      <c r="H58">
        <f t="shared" si="7"/>
        <v>26.851851851851851</v>
      </c>
    </row>
    <row r="59" spans="1:8" x14ac:dyDescent="0.25">
      <c r="A59">
        <f t="shared" si="0"/>
        <v>730000</v>
      </c>
      <c r="B59">
        <f t="shared" si="1"/>
        <v>735000</v>
      </c>
      <c r="C59">
        <f t="shared" si="2"/>
        <v>725000</v>
      </c>
      <c r="D59">
        <f t="shared" si="3"/>
        <v>1470000</v>
      </c>
      <c r="E59">
        <f t="shared" si="4"/>
        <v>1450000</v>
      </c>
      <c r="F59">
        <f t="shared" si="6"/>
        <v>56</v>
      </c>
      <c r="G59">
        <f t="shared" si="5"/>
        <v>26.25</v>
      </c>
      <c r="H59">
        <f t="shared" si="7"/>
        <v>26.363636363636363</v>
      </c>
    </row>
    <row r="60" spans="1:8" x14ac:dyDescent="0.25">
      <c r="A60">
        <f t="shared" si="0"/>
        <v>730000</v>
      </c>
      <c r="B60">
        <f t="shared" si="1"/>
        <v>735000</v>
      </c>
      <c r="C60">
        <f t="shared" si="2"/>
        <v>725000</v>
      </c>
      <c r="D60">
        <f t="shared" si="3"/>
        <v>1470000</v>
      </c>
      <c r="E60">
        <f t="shared" si="4"/>
        <v>1450000</v>
      </c>
      <c r="F60">
        <f t="shared" si="6"/>
        <v>57</v>
      </c>
      <c r="G60">
        <f t="shared" si="5"/>
        <v>25.789473684210527</v>
      </c>
      <c r="H60">
        <f t="shared" si="7"/>
        <v>25.892857142857142</v>
      </c>
    </row>
    <row r="61" spans="1:8" x14ac:dyDescent="0.25">
      <c r="A61">
        <f t="shared" si="0"/>
        <v>730000</v>
      </c>
      <c r="B61">
        <f t="shared" si="1"/>
        <v>735000</v>
      </c>
      <c r="C61">
        <f t="shared" si="2"/>
        <v>725000</v>
      </c>
      <c r="D61">
        <f t="shared" si="3"/>
        <v>1470000</v>
      </c>
      <c r="E61">
        <f t="shared" si="4"/>
        <v>1450000</v>
      </c>
      <c r="F61">
        <f t="shared" si="6"/>
        <v>58</v>
      </c>
      <c r="G61">
        <f t="shared" si="5"/>
        <v>25.344827586206893</v>
      </c>
      <c r="H61">
        <f t="shared" si="7"/>
        <v>25.438596491228068</v>
      </c>
    </row>
    <row r="62" spans="1:8" x14ac:dyDescent="0.25">
      <c r="A62">
        <f t="shared" si="0"/>
        <v>730000</v>
      </c>
      <c r="B62">
        <f t="shared" si="1"/>
        <v>735000</v>
      </c>
      <c r="C62">
        <f t="shared" si="2"/>
        <v>725000</v>
      </c>
      <c r="D62">
        <f t="shared" si="3"/>
        <v>1470000</v>
      </c>
      <c r="E62">
        <f t="shared" si="4"/>
        <v>1450000</v>
      </c>
      <c r="F62">
        <f t="shared" si="6"/>
        <v>59</v>
      </c>
      <c r="G62">
        <f t="shared" si="5"/>
        <v>24.915254237288135</v>
      </c>
      <c r="H62">
        <f t="shared" si="7"/>
        <v>25</v>
      </c>
    </row>
    <row r="63" spans="1:8" x14ac:dyDescent="0.25">
      <c r="A63">
        <f t="shared" si="0"/>
        <v>730000</v>
      </c>
      <c r="B63">
        <f t="shared" si="1"/>
        <v>735000</v>
      </c>
      <c r="C63">
        <f t="shared" si="2"/>
        <v>725000</v>
      </c>
      <c r="D63">
        <f t="shared" si="3"/>
        <v>1470000</v>
      </c>
      <c r="E63">
        <f t="shared" si="4"/>
        <v>1450000</v>
      </c>
      <c r="F63">
        <f t="shared" si="6"/>
        <v>60</v>
      </c>
      <c r="G63">
        <f t="shared" si="5"/>
        <v>24.5</v>
      </c>
      <c r="H63">
        <f t="shared" si="7"/>
        <v>24.576271186440678</v>
      </c>
    </row>
    <row r="64" spans="1:8" x14ac:dyDescent="0.25">
      <c r="A64">
        <f t="shared" si="0"/>
        <v>730000</v>
      </c>
      <c r="B64">
        <f t="shared" si="1"/>
        <v>735000</v>
      </c>
      <c r="C64">
        <f t="shared" si="2"/>
        <v>725000</v>
      </c>
      <c r="D64">
        <f t="shared" si="3"/>
        <v>1470000</v>
      </c>
      <c r="E64">
        <f t="shared" si="4"/>
        <v>1450000</v>
      </c>
      <c r="F64">
        <f t="shared" si="6"/>
        <v>61</v>
      </c>
      <c r="G64">
        <f t="shared" si="5"/>
        <v>24.098360655737707</v>
      </c>
      <c r="H64">
        <f t="shared" si="7"/>
        <v>24.166666666666668</v>
      </c>
    </row>
    <row r="65" spans="1:8" x14ac:dyDescent="0.25">
      <c r="A65">
        <f t="shared" si="0"/>
        <v>730000</v>
      </c>
      <c r="B65">
        <f t="shared" si="1"/>
        <v>735000</v>
      </c>
      <c r="C65">
        <f t="shared" si="2"/>
        <v>725000</v>
      </c>
      <c r="D65">
        <f t="shared" si="3"/>
        <v>1470000</v>
      </c>
      <c r="E65">
        <f t="shared" si="4"/>
        <v>1450000</v>
      </c>
      <c r="F65">
        <f t="shared" si="6"/>
        <v>62</v>
      </c>
      <c r="G65">
        <f t="shared" si="5"/>
        <v>23.709677419354836</v>
      </c>
      <c r="H65">
        <f t="shared" si="7"/>
        <v>23.770491803278688</v>
      </c>
    </row>
    <row r="66" spans="1:8" x14ac:dyDescent="0.25">
      <c r="A66">
        <f t="shared" si="0"/>
        <v>730000</v>
      </c>
      <c r="B66">
        <f t="shared" si="1"/>
        <v>735000</v>
      </c>
      <c r="C66">
        <f t="shared" si="2"/>
        <v>725000</v>
      </c>
      <c r="D66">
        <f t="shared" si="3"/>
        <v>1470000</v>
      </c>
      <c r="E66">
        <f t="shared" si="4"/>
        <v>1450000</v>
      </c>
      <c r="F66">
        <f t="shared" si="6"/>
        <v>63</v>
      </c>
      <c r="G66">
        <f t="shared" si="5"/>
        <v>23.333333333333332</v>
      </c>
      <c r="H66">
        <f t="shared" si="7"/>
        <v>23.387096774193548</v>
      </c>
    </row>
    <row r="67" spans="1:8" x14ac:dyDescent="0.25">
      <c r="A67">
        <f t="shared" si="0"/>
        <v>730000</v>
      </c>
      <c r="B67">
        <f t="shared" si="1"/>
        <v>735000</v>
      </c>
      <c r="C67">
        <f t="shared" si="2"/>
        <v>725000</v>
      </c>
      <c r="D67">
        <f t="shared" si="3"/>
        <v>1470000</v>
      </c>
      <c r="E67">
        <f t="shared" si="4"/>
        <v>1450000</v>
      </c>
      <c r="F67">
        <f t="shared" si="6"/>
        <v>64</v>
      </c>
      <c r="G67">
        <f t="shared" si="5"/>
        <v>22.96875</v>
      </c>
      <c r="H67">
        <f t="shared" si="7"/>
        <v>23.015873015873016</v>
      </c>
    </row>
    <row r="68" spans="1:8" x14ac:dyDescent="0.25">
      <c r="A68">
        <f t="shared" si="0"/>
        <v>730000</v>
      </c>
      <c r="B68">
        <f t="shared" si="1"/>
        <v>735000</v>
      </c>
      <c r="C68">
        <f t="shared" si="2"/>
        <v>725000</v>
      </c>
      <c r="D68">
        <f t="shared" si="3"/>
        <v>1470000</v>
      </c>
      <c r="E68">
        <f t="shared" si="4"/>
        <v>1450000</v>
      </c>
      <c r="F68">
        <f t="shared" si="6"/>
        <v>65</v>
      </c>
      <c r="G68">
        <f t="shared" si="5"/>
        <v>22.615384615384617</v>
      </c>
      <c r="H68">
        <f t="shared" si="7"/>
        <v>22.65625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Mabrouk</dc:creator>
  <cp:lastModifiedBy>Farid Mabrouk</cp:lastModifiedBy>
  <dcterms:created xsi:type="dcterms:W3CDTF">2026-03-31T18:13:42Z</dcterms:created>
  <dcterms:modified xsi:type="dcterms:W3CDTF">2026-04-08T20:33:32Z</dcterms:modified>
</cp:coreProperties>
</file>